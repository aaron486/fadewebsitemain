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ts" sheetId="1" state="visible" r:id="rId3"/>
    <sheet name="Summary" sheetId="2" state="visible" r:id="rId4"/>
  </sheets>
  <definedNames>
    <definedName function="false" hidden="true" localSheetId="0" name="_xlnm._FilterDatabase" vbProcedure="false">Bets!$A$4:$L$24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<sst xmlns="http://schemas.openxmlformats.org/spreadsheetml/2006/main" count="210" uniqueCount="129">
  <si>
    <t xml:space="preserve">Jim "Mattress Mack" McIngvale — Publicly Reported Betting History</t>
  </si>
  <si>
    <t xml:space="preserve">Compiled from public reports (ESPN, Las Vegas Review-Journal, Houston Chronicle, CBS, sportsbook confirmations). Most bets hedge Gallery Furniture money-back promotions. Blank Wager/Payout cells = amount not publicly reported. Payout &amp; Net are formulas.</t>
  </si>
  <si>
    <t xml:space="preserve">Date</t>
  </si>
  <si>
    <t xml:space="preserve">Sport</t>
  </si>
  <si>
    <t xml:space="preserve">Pick (Team / Side)</t>
  </si>
  <si>
    <t xml:space="preserve">Opponent</t>
  </si>
  <si>
    <t xml:space="preserve">Bet Type / Details</t>
  </si>
  <si>
    <t xml:space="preserve">Sportsbook</t>
  </si>
  <si>
    <t xml:space="preserve">Odds (American)</t>
  </si>
  <si>
    <t xml:space="preserve">Wager ($)</t>
  </si>
  <si>
    <t xml:space="preserve">Result</t>
  </si>
  <si>
    <t xml:space="preserve">Total Payout ($)</t>
  </si>
  <si>
    <t xml:space="preserve">Net Profit/Loss ($)</t>
  </si>
  <si>
    <t xml:space="preserve">Source</t>
  </si>
  <si>
    <t xml:space="preserve">2019-10</t>
  </si>
  <si>
    <t xml:space="preserve">MLB</t>
  </si>
  <si>
    <t xml:space="preserve">Houston Astros</t>
  </si>
  <si>
    <t xml:space="preserve">Washington Nationals</t>
  </si>
  <si>
    <t xml:space="preserve">Futures/series — 2019 World Series (multiple wagers, 3 states)</t>
  </si>
  <si>
    <t xml:space="preserve">Multiple books</t>
  </si>
  <si>
    <t xml:space="preserve">Loss</t>
  </si>
  <si>
    <t xml:space="preserve">Houston Chronicle / LV Review-Journal</t>
  </si>
  <si>
    <t xml:space="preserve">2020-02-02</t>
  </si>
  <si>
    <t xml:space="preserve">NFL</t>
  </si>
  <si>
    <t xml:space="preserve">San Francisco 49ers</t>
  </si>
  <si>
    <t xml:space="preserve">Kansas City Chiefs</t>
  </si>
  <si>
    <t xml:space="preserve">Super Bowl LIV (tied to store promotion)</t>
  </si>
  <si>
    <t xml:space="preserve">Reported</t>
  </si>
  <si>
    <t xml:space="preserve">LegalSportsBetting</t>
  </si>
  <si>
    <t xml:space="preserve">2021-02-07</t>
  </si>
  <si>
    <t xml:space="preserve">Tampa Bay Buccaneers +3.5</t>
  </si>
  <si>
    <t xml:space="preserve">Spread — Super Bowl LV</t>
  </si>
  <si>
    <t xml:space="preserve">DraftKings</t>
  </si>
  <si>
    <t xml:space="preserve">Win</t>
  </si>
  <si>
    <t xml:space="preserve">ESPN / Action Network</t>
  </si>
  <si>
    <t xml:space="preserve">2021-05-01</t>
  </si>
  <si>
    <t xml:space="preserve">Horse racing</t>
  </si>
  <si>
    <t xml:space="preserve">Essential Quality</t>
  </si>
  <si>
    <t xml:space="preserve">Field</t>
  </si>
  <si>
    <t xml:space="preserve">2021 Kentucky Derby winner</t>
  </si>
  <si>
    <t xml:space="preserve">2021-10</t>
  </si>
  <si>
    <t xml:space="preserve">Atlanta Braves</t>
  </si>
  <si>
    <t xml:space="preserve">2021 World Series</t>
  </si>
  <si>
    <t xml:space="preserve">CBS News</t>
  </si>
  <si>
    <t xml:space="preserve">2021-11</t>
  </si>
  <si>
    <t xml:space="preserve">Tennessee Titans</t>
  </si>
  <si>
    <t xml:space="preserve">Futures — Super Bowl LVI champion</t>
  </si>
  <si>
    <t xml:space="preserve">New England Patriots</t>
  </si>
  <si>
    <t xml:space="preserve">2022-01-10</t>
  </si>
  <si>
    <t xml:space="preserve">CFB</t>
  </si>
  <si>
    <t xml:space="preserve">Alabama</t>
  </si>
  <si>
    <t xml:space="preserve">Georgia</t>
  </si>
  <si>
    <t xml:space="preserve">CFP National Championship</t>
  </si>
  <si>
    <t xml:space="preserve">2022-02-13</t>
  </si>
  <si>
    <t xml:space="preserve">Cincinnati Bengals</t>
  </si>
  <si>
    <t xml:space="preserve">Los Angeles Rams</t>
  </si>
  <si>
    <t xml:space="preserve">Moneyline — Super Bowl LVI ($4.53M Caesars + ~$5M pre-kickoff)</t>
  </si>
  <si>
    <t xml:space="preserve">Caesars + others</t>
  </si>
  <si>
    <t xml:space="preserve">OnlineBookiesOffers / LegalSportsBetting</t>
  </si>
  <si>
    <t xml:space="preserve">2022-04-04</t>
  </si>
  <si>
    <t xml:space="preserve">NCAAB</t>
  </si>
  <si>
    <t xml:space="preserve">Kansas</t>
  </si>
  <si>
    <t xml:space="preserve">North Carolina</t>
  </si>
  <si>
    <t xml:space="preserve">NCAA championship (futures + title game)</t>
  </si>
  <si>
    <t xml:space="preserve">2022-05-07</t>
  </si>
  <si>
    <t xml:space="preserve">Epicenter</t>
  </si>
  <si>
    <t xml:space="preserve">2022 Kentucky Derby winner</t>
  </si>
  <si>
    <t xml:space="preserve">LV Review-Journal</t>
  </si>
  <si>
    <t xml:space="preserve">2022-05</t>
  </si>
  <si>
    <t xml:space="preserve">Philadelphia Phillies</t>
  </si>
  <si>
    <t xml:space="preserve">Futures — 2022 World Series ($3M Caesars +1000, $2M Barstool, $2M BetMGM, $1M WynnBET + more)</t>
  </si>
  <si>
    <t xml:space="preserve">5 sportsbooks</t>
  </si>
  <si>
    <t xml:space="preserve">LV Review-Journal / ESPN / CBS</t>
  </si>
  <si>
    <t xml:space="preserve">2023-01-09</t>
  </si>
  <si>
    <t xml:space="preserve">TCU</t>
  </si>
  <si>
    <t xml:space="preserve">Chron.com</t>
  </si>
  <si>
    <t xml:space="preserve">2023-01-22</t>
  </si>
  <si>
    <t xml:space="preserve">Dallas Cowboys</t>
  </si>
  <si>
    <t xml:space="preserve">Divisional playoff</t>
  </si>
  <si>
    <t xml:space="preserve">2023-03</t>
  </si>
  <si>
    <t xml:space="preserve">Houston Cougars</t>
  </si>
  <si>
    <t xml:space="preserve">Futures — NCAA champion (lost in Sweet 16)</t>
  </si>
  <si>
    <t xml:space="preserve">Chron.com (Houston Chronicle reports $2.5M)</t>
  </si>
  <si>
    <t xml:space="preserve">2023-05-06</t>
  </si>
  <si>
    <t xml:space="preserve">2023 Kentucky Derby wagers</t>
  </si>
  <si>
    <t xml:space="preserve">Derby wagers (horse not specified in reports)</t>
  </si>
  <si>
    <t xml:space="preserve">Houston Chronicle</t>
  </si>
  <si>
    <t xml:space="preserve">2023-03/09</t>
  </si>
  <si>
    <t xml:space="preserve">Texas Rangers (ALCS exit)</t>
  </si>
  <si>
    <t xml:space="preserve">Futures — 2023 World Series ($1.9M in March + $2M at +600 in Sept; ~$8M total reported)</t>
  </si>
  <si>
    <t xml:space="preserve">DraftKings + others</t>
  </si>
  <si>
    <t xml:space="preserve">Houston Chronicle / Chron.com / SI</t>
  </si>
  <si>
    <t xml:space="preserve">2024-01-20</t>
  </si>
  <si>
    <t xml:space="preserve">Houston Texans</t>
  </si>
  <si>
    <t xml:space="preserve">Baltimore Ravens</t>
  </si>
  <si>
    <t xml:space="preserve">2024-03</t>
  </si>
  <si>
    <t xml:space="preserve">CW39 / AP</t>
  </si>
  <si>
    <t xml:space="preserve">2026-01-29</t>
  </si>
  <si>
    <t xml:space="preserve">Seattle Seahawks</t>
  </si>
  <si>
    <t xml:space="preserve">Super Bowl LX ($2M Caesars — largest reported SB bet — plus additional wagers; ~$3.3M total)</t>
  </si>
  <si>
    <t xml:space="preserve">Houston Chronicle / ESPN / CW39</t>
  </si>
  <si>
    <t xml:space="preserve">Notes &amp; assumptions:</t>
  </si>
  <si>
    <t xml:space="preserve">• Pick = the team/horse/side McIngvale backed; Opponent = who they played ("Field" for futures and race winners).</t>
  </si>
  <si>
    <t xml:space="preserve">• Blue payout cells are hardcoded from reported figures: Kansas 2022 = $12.2M profit (LV Review-Journal); Astros 2022 = $72.6M in winnings per LVRJ (other outlets report a ~$75M total payout).</t>
  </si>
  <si>
    <t xml:space="preserve">• Most wagers were placed as hedges against Gallery Furniture money-back promotions, so a lost bet is typically offset by retained store revenue (and vice versa).</t>
  </si>
  <si>
    <t xml:space="preserve">• Feb 2014 Super Bowl XLVIII: his unhedged Seahawks promotion cost ~$13M in customer refunds — a promotion loss, not a sportsbook bet, so it is excluded from the table.</t>
  </si>
  <si>
    <t xml:space="preserve">• He reportedly skipped betting Super Bowl LIX (2025) while recovering from open-heart surgery.</t>
  </si>
  <si>
    <t xml:space="preserve">• Conflicting figures noted in-row: Houston 2023 NCAA reported as $4M (Chron.com) or $2.5M (Houston Chronicle); Astros 2023 total reported as "nearly $8M"; Super Bowl LX total ~$3.3M (CW39).</t>
  </si>
  <si>
    <t xml:space="preserve">• Many wagers were split across several sportsbooks; odds shown only where a single reported price applies. Payout formula (where used): positive odds = Wager × (1 + Odds/100); negative = Wager × (1 + 100/|Odds|).</t>
  </si>
  <si>
    <t xml:space="preserve">• Sources: ESPN; Las Vegas Review-Journal; Houston Chronicle / Chron.com; CBS News; Action Network; LegalSportsBetting.com; OnlineBookiesOffers.co.uk; CW39.</t>
  </si>
  <si>
    <t xml:space="preserve">Summary — Publicly Reported Bets</t>
  </si>
  <si>
    <t xml:space="preserve">Total bets tracked</t>
  </si>
  <si>
    <t xml:space="preserve">Wins</t>
  </si>
  <si>
    <t xml:space="preserve">Losses</t>
  </si>
  <si>
    <t xml:space="preserve">Win rate</t>
  </si>
  <si>
    <t xml:space="preserve">Bets with reported stake</t>
  </si>
  <si>
    <t xml:space="preserve">Total wagered (reported stakes)</t>
  </si>
  <si>
    <t xml:space="preserve">Total payouts received</t>
  </si>
  <si>
    <t xml:space="preserve">Net profit / loss</t>
  </si>
  <si>
    <t xml:space="preserve">ROI on reported stakes</t>
  </si>
  <si>
    <t xml:space="preserve">Biggest single win (net)</t>
  </si>
  <si>
    <t xml:space="preserve">Biggest single loss (net)</t>
  </si>
  <si>
    <t xml:space="preserve">Largest wager</t>
  </si>
  <si>
    <t xml:space="preserve">By Sport</t>
  </si>
  <si>
    <t xml:space="preserve">Bets</t>
  </si>
  <si>
    <t xml:space="preserve">Wagered ($)</t>
  </si>
  <si>
    <t xml:space="preserve">Net ($)</t>
  </si>
  <si>
    <t xml:space="preserve">Total</t>
  </si>
  <si>
    <t xml:space="preserve">Dollar totals only include bets with a publicly reported stake. Win/loss counts include every tracked bet.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</si>
</sst>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+0;\-0"/>
    <numFmt numFmtId="166" formatCode="\$#,##0;&quot;($&quot;#,##0\);\-"/>
    <numFmt numFmtId="167" formatCode="0"/>
    <numFmt numFmtId="168" formatCode="0.0%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4" t="s">
        <v>15</v>
      </c>
      <c r="C5" s="5" t="s">
        <v>16</v>
      </c>
      <c r="D5" s="5" t="s">
        <v>17</v>
      </c>
      <c r="E5" s="5" t="s">
        <v>18</v>
      </c>
      <c r="F5" s="4" t="s">
        <v>19</v>
      </c>
      <c r="G5" s="6"/>
      <c r="H5" s="7" t="n">
        <v>13000000</v>
      </c>
      <c r="I5" s="8" t="s">
        <v>20</v>
      </c>
      <c r="J5" s="7" t="n">
        <f aca="false">IF(I5="Loss",0,IF(OR(H5="",G5=""),"",IF(G5&gt;0,H5*(1+G5/100),H5*(1+100/ABS(G5)))))</f>
        <v>0</v>
      </c>
      <c r="K5" s="7" t="n">
        <f aca="false">IF(H5="","",IF(I5="Loss",-H5,IF(J5="","",J5-H5)))</f>
        <v>-13000000</v>
      </c>
      <c r="L5" s="5" t="s">
        <v>21</v>
      </c>
    </row>
    <row r="6" customFormat="false" ht="15" hidden="false" customHeight="false" outlineLevel="0" collapsed="false">
      <c r="A6" s="4" t="s">
        <v>22</v>
      </c>
      <c r="B6" s="4" t="s">
        <v>23</v>
      </c>
      <c r="C6" s="5" t="s">
        <v>24</v>
      </c>
      <c r="D6" s="5" t="s">
        <v>25</v>
      </c>
      <c r="E6" s="5" t="s">
        <v>26</v>
      </c>
      <c r="F6" s="4" t="s">
        <v>27</v>
      </c>
      <c r="G6" s="6"/>
      <c r="H6" s="7" t="n">
        <v>1000000</v>
      </c>
      <c r="I6" s="8" t="s">
        <v>20</v>
      </c>
      <c r="J6" s="7" t="n">
        <f aca="false">IF(I6="Loss",0,IF(OR(H6="",G6=""),"",IF(G6&gt;0,H6*(1+G6/100),H6*(1+100/ABS(G6)))))</f>
        <v>0</v>
      </c>
      <c r="K6" s="7" t="n">
        <f aca="false">IF(H6="","",IF(I6="Loss",-H6,IF(J6="","",J6-H6)))</f>
        <v>-1000000</v>
      </c>
      <c r="L6" s="5" t="s">
        <v>28</v>
      </c>
    </row>
    <row r="7" customFormat="false" ht="15" hidden="false" customHeight="false" outlineLevel="0" collapsed="false">
      <c r="A7" s="4" t="s">
        <v>29</v>
      </c>
      <c r="B7" s="4" t="s">
        <v>23</v>
      </c>
      <c r="C7" s="5" t="s">
        <v>30</v>
      </c>
      <c r="D7" s="5" t="s">
        <v>25</v>
      </c>
      <c r="E7" s="5" t="s">
        <v>31</v>
      </c>
      <c r="F7" s="4" t="s">
        <v>32</v>
      </c>
      <c r="G7" s="6" t="n">
        <v>-127</v>
      </c>
      <c r="H7" s="7" t="n">
        <v>3460000</v>
      </c>
      <c r="I7" s="8" t="s">
        <v>33</v>
      </c>
      <c r="J7" s="7" t="n">
        <f aca="false">IF(I7="Loss",0,IF(OR(H7="",G7=""),"",IF(G7&gt;0,H7*(1+G7/100),H7*(1+100/ABS(G7)))))</f>
        <v>6184409.4488189</v>
      </c>
      <c r="K7" s="7" t="n">
        <f aca="false">IF(H7="","",IF(I7="Loss",-H7,IF(J7="","",J7-H7)))</f>
        <v>2724409.4488189</v>
      </c>
      <c r="L7" s="5" t="s">
        <v>34</v>
      </c>
    </row>
    <row r="8" customFormat="false" ht="15" hidden="false" customHeight="false" outlineLevel="0" collapsed="false">
      <c r="A8" s="4" t="s">
        <v>35</v>
      </c>
      <c r="B8" s="4" t="s">
        <v>36</v>
      </c>
      <c r="C8" s="5" t="s">
        <v>37</v>
      </c>
      <c r="D8" s="5" t="s">
        <v>38</v>
      </c>
      <c r="E8" s="5" t="s">
        <v>39</v>
      </c>
      <c r="F8" s="4" t="s">
        <v>19</v>
      </c>
      <c r="G8" s="6"/>
      <c r="H8" s="7" t="n">
        <v>4000000</v>
      </c>
      <c r="I8" s="8" t="s">
        <v>20</v>
      </c>
      <c r="J8" s="7" t="n">
        <f aca="false">IF(I8="Loss",0,IF(OR(H8="",G8=""),"",IF(G8&gt;0,H8*(1+G8/100),H8*(1+100/ABS(G8)))))</f>
        <v>0</v>
      </c>
      <c r="K8" s="7" t="n">
        <f aca="false">IF(H8="","",IF(I8="Loss",-H8,IF(J8="","",J8-H8)))</f>
        <v>-4000000</v>
      </c>
      <c r="L8" s="5" t="s">
        <v>28</v>
      </c>
    </row>
    <row r="9" customFormat="false" ht="15" hidden="false" customHeight="false" outlineLevel="0" collapsed="false">
      <c r="A9" s="4" t="s">
        <v>40</v>
      </c>
      <c r="B9" s="4" t="s">
        <v>15</v>
      </c>
      <c r="C9" s="5" t="s">
        <v>16</v>
      </c>
      <c r="D9" s="5" t="s">
        <v>41</v>
      </c>
      <c r="E9" s="5" t="s">
        <v>42</v>
      </c>
      <c r="F9" s="4" t="s">
        <v>19</v>
      </c>
      <c r="G9" s="6"/>
      <c r="H9" s="7" t="n">
        <v>3200000</v>
      </c>
      <c r="I9" s="8" t="s">
        <v>20</v>
      </c>
      <c r="J9" s="7" t="n">
        <f aca="false">IF(I9="Loss",0,IF(OR(H9="",G9=""),"",IF(G9&gt;0,H9*(1+G9/100),H9*(1+100/ABS(G9)))))</f>
        <v>0</v>
      </c>
      <c r="K9" s="7" t="n">
        <f aca="false">IF(H9="","",IF(I9="Loss",-H9,IF(J9="","",J9-H9)))</f>
        <v>-3200000</v>
      </c>
      <c r="L9" s="5" t="s">
        <v>43</v>
      </c>
    </row>
    <row r="10" customFormat="false" ht="15" hidden="false" customHeight="false" outlineLevel="0" collapsed="false">
      <c r="A10" s="4" t="s">
        <v>44</v>
      </c>
      <c r="B10" s="4" t="s">
        <v>23</v>
      </c>
      <c r="C10" s="5" t="s">
        <v>45</v>
      </c>
      <c r="D10" s="5" t="s">
        <v>38</v>
      </c>
      <c r="E10" s="5" t="s">
        <v>46</v>
      </c>
      <c r="F10" s="4" t="s">
        <v>27</v>
      </c>
      <c r="G10" s="6"/>
      <c r="H10" s="7" t="n">
        <v>700000</v>
      </c>
      <c r="I10" s="8" t="s">
        <v>20</v>
      </c>
      <c r="J10" s="7" t="n">
        <f aca="false">IF(I10="Loss",0,IF(OR(H10="",G10=""),"",IF(G10&gt;0,H10*(1+G10/100),H10*(1+100/ABS(G10)))))</f>
        <v>0</v>
      </c>
      <c r="K10" s="7" t="n">
        <f aca="false">IF(H10="","",IF(I10="Loss",-H10,IF(J10="","",J10-H10)))</f>
        <v>-700000</v>
      </c>
      <c r="L10" s="5" t="s">
        <v>28</v>
      </c>
    </row>
    <row r="11" customFormat="false" ht="15" hidden="false" customHeight="false" outlineLevel="0" collapsed="false">
      <c r="A11" s="4" t="s">
        <v>44</v>
      </c>
      <c r="B11" s="4" t="s">
        <v>23</v>
      </c>
      <c r="C11" s="5" t="s">
        <v>47</v>
      </c>
      <c r="D11" s="5" t="s">
        <v>38</v>
      </c>
      <c r="E11" s="5" t="s">
        <v>46</v>
      </c>
      <c r="F11" s="4" t="s">
        <v>27</v>
      </c>
      <c r="G11" s="6"/>
      <c r="H11" s="7" t="n">
        <v>2000000</v>
      </c>
      <c r="I11" s="8" t="s">
        <v>20</v>
      </c>
      <c r="J11" s="7" t="n">
        <f aca="false">IF(I11="Loss",0,IF(OR(H11="",G11=""),"",IF(G11&gt;0,H11*(1+G11/100),H11*(1+100/ABS(G11)))))</f>
        <v>0</v>
      </c>
      <c r="K11" s="7" t="n">
        <f aca="false">IF(H11="","",IF(I11="Loss",-H11,IF(J11="","",J11-H11)))</f>
        <v>-2000000</v>
      </c>
      <c r="L11" s="5" t="s">
        <v>28</v>
      </c>
    </row>
    <row r="12" customFormat="false" ht="15" hidden="false" customHeight="false" outlineLevel="0" collapsed="false">
      <c r="A12" s="4" t="s">
        <v>48</v>
      </c>
      <c r="B12" s="4" t="s">
        <v>49</v>
      </c>
      <c r="C12" s="5" t="s">
        <v>50</v>
      </c>
      <c r="D12" s="5" t="s">
        <v>51</v>
      </c>
      <c r="E12" s="5" t="s">
        <v>52</v>
      </c>
      <c r="F12" s="4" t="s">
        <v>19</v>
      </c>
      <c r="G12" s="6"/>
      <c r="H12" s="7" t="n">
        <v>6200000</v>
      </c>
      <c r="I12" s="8" t="s">
        <v>20</v>
      </c>
      <c r="J12" s="7" t="n">
        <f aca="false">IF(I12="Loss",0,IF(OR(H12="",G12=""),"",IF(G12&gt;0,H12*(1+G12/100),H12*(1+100/ABS(G12)))))</f>
        <v>0</v>
      </c>
      <c r="K12" s="7" t="n">
        <f aca="false">IF(H12="","",IF(I12="Loss",-H12,IF(J12="","",J12-H12)))</f>
        <v>-6200000</v>
      </c>
      <c r="L12" s="5" t="s">
        <v>28</v>
      </c>
    </row>
    <row r="13" customFormat="false" ht="23.85" hidden="false" customHeight="false" outlineLevel="0" collapsed="false">
      <c r="A13" s="4" t="s">
        <v>53</v>
      </c>
      <c r="B13" s="4" t="s">
        <v>23</v>
      </c>
      <c r="C13" s="5" t="s">
        <v>54</v>
      </c>
      <c r="D13" s="5" t="s">
        <v>55</v>
      </c>
      <c r="E13" s="5" t="s">
        <v>56</v>
      </c>
      <c r="F13" s="4" t="s">
        <v>57</v>
      </c>
      <c r="G13" s="6" t="n">
        <v>170</v>
      </c>
      <c r="H13" s="7" t="n">
        <v>9500000</v>
      </c>
      <c r="I13" s="8" t="s">
        <v>20</v>
      </c>
      <c r="J13" s="7" t="n">
        <f aca="false">IF(I13="Loss",0,IF(OR(H13="",G13=""),"",IF(G13&gt;0,H13*(1+G13/100),H13*(1+100/ABS(G13)))))</f>
        <v>0</v>
      </c>
      <c r="K13" s="7" t="n">
        <f aca="false">IF(H13="","",IF(I13="Loss",-H13,IF(J13="","",J13-H13)))</f>
        <v>-9500000</v>
      </c>
      <c r="L13" s="5" t="s">
        <v>58</v>
      </c>
    </row>
    <row r="14" customFormat="false" ht="23.85" hidden="false" customHeight="false" outlineLevel="0" collapsed="false">
      <c r="A14" s="4" t="s">
        <v>59</v>
      </c>
      <c r="B14" s="4" t="s">
        <v>60</v>
      </c>
      <c r="C14" s="5" t="s">
        <v>61</v>
      </c>
      <c r="D14" s="5" t="s">
        <v>62</v>
      </c>
      <c r="E14" s="5" t="s">
        <v>63</v>
      </c>
      <c r="F14" s="4" t="s">
        <v>19</v>
      </c>
      <c r="G14" s="6"/>
      <c r="H14" s="7" t="n">
        <v>8800000</v>
      </c>
      <c r="I14" s="8" t="s">
        <v>33</v>
      </c>
      <c r="J14" s="9" t="n">
        <v>21000000</v>
      </c>
      <c r="K14" s="7" t="n">
        <f aca="false">IF(H14="","",IF(I14="Loss",-H14,IF(J14="","",J14-H14)))</f>
        <v>12200000</v>
      </c>
      <c r="L14" s="5" t="s">
        <v>21</v>
      </c>
    </row>
    <row r="15" customFormat="false" ht="15" hidden="false" customHeight="false" outlineLevel="0" collapsed="false">
      <c r="A15" s="4" t="s">
        <v>64</v>
      </c>
      <c r="B15" s="4" t="s">
        <v>36</v>
      </c>
      <c r="C15" s="5" t="s">
        <v>65</v>
      </c>
      <c r="D15" s="5" t="s">
        <v>38</v>
      </c>
      <c r="E15" s="5" t="s">
        <v>66</v>
      </c>
      <c r="F15" s="4" t="s">
        <v>19</v>
      </c>
      <c r="G15" s="6"/>
      <c r="H15" s="7" t="n">
        <v>2600000</v>
      </c>
      <c r="I15" s="8" t="s">
        <v>20</v>
      </c>
      <c r="J15" s="7" t="n">
        <f aca="false">IF(I15="Loss",0,IF(OR(H15="",G15=""),"",IF(G15&gt;0,H15*(1+G15/100),H15*(1+100/ABS(G15)))))</f>
        <v>0</v>
      </c>
      <c r="K15" s="7" t="n">
        <f aca="false">IF(H15="","",IF(I15="Loss",-H15,IF(J15="","",J15-H15)))</f>
        <v>-2600000</v>
      </c>
      <c r="L15" s="5" t="s">
        <v>67</v>
      </c>
    </row>
    <row r="16" customFormat="false" ht="23.85" hidden="false" customHeight="false" outlineLevel="0" collapsed="false">
      <c r="A16" s="4" t="s">
        <v>68</v>
      </c>
      <c r="B16" s="4" t="s">
        <v>15</v>
      </c>
      <c r="C16" s="5" t="s">
        <v>16</v>
      </c>
      <c r="D16" s="5" t="s">
        <v>69</v>
      </c>
      <c r="E16" s="5" t="s">
        <v>70</v>
      </c>
      <c r="F16" s="4" t="s">
        <v>71</v>
      </c>
      <c r="G16" s="6"/>
      <c r="H16" s="7" t="n">
        <v>10000000</v>
      </c>
      <c r="I16" s="8" t="s">
        <v>33</v>
      </c>
      <c r="J16" s="9" t="n">
        <v>82600000</v>
      </c>
      <c r="K16" s="7" t="n">
        <f aca="false">IF(H16="","",IF(I16="Loss",-H16,IF(J16="","",J16-H16)))</f>
        <v>72600000</v>
      </c>
      <c r="L16" s="5" t="s">
        <v>72</v>
      </c>
    </row>
    <row r="17" customFormat="false" ht="15" hidden="false" customHeight="false" outlineLevel="0" collapsed="false">
      <c r="A17" s="4" t="s">
        <v>73</v>
      </c>
      <c r="B17" s="4" t="s">
        <v>49</v>
      </c>
      <c r="C17" s="5" t="s">
        <v>74</v>
      </c>
      <c r="D17" s="5" t="s">
        <v>51</v>
      </c>
      <c r="E17" s="5" t="s">
        <v>52</v>
      </c>
      <c r="F17" s="4" t="s">
        <v>27</v>
      </c>
      <c r="G17" s="6"/>
      <c r="H17" s="7" t="n">
        <v>3000000</v>
      </c>
      <c r="I17" s="8" t="s">
        <v>20</v>
      </c>
      <c r="J17" s="7" t="n">
        <f aca="false">IF(I17="Loss",0,IF(OR(H17="",G17=""),"",IF(G17&gt;0,H17*(1+G17/100),H17*(1+100/ABS(G17)))))</f>
        <v>0</v>
      </c>
      <c r="K17" s="7" t="n">
        <f aca="false">IF(H17="","",IF(I17="Loss",-H17,IF(J17="","",J17-H17)))</f>
        <v>-3000000</v>
      </c>
      <c r="L17" s="5" t="s">
        <v>75</v>
      </c>
    </row>
    <row r="18" customFormat="false" ht="15" hidden="false" customHeight="false" outlineLevel="0" collapsed="false">
      <c r="A18" s="4" t="s">
        <v>76</v>
      </c>
      <c r="B18" s="4" t="s">
        <v>23</v>
      </c>
      <c r="C18" s="5" t="s">
        <v>77</v>
      </c>
      <c r="D18" s="5" t="s">
        <v>24</v>
      </c>
      <c r="E18" s="5" t="s">
        <v>78</v>
      </c>
      <c r="F18" s="4" t="s">
        <v>27</v>
      </c>
      <c r="G18" s="6"/>
      <c r="H18" s="7" t="n">
        <v>2000000</v>
      </c>
      <c r="I18" s="8" t="s">
        <v>20</v>
      </c>
      <c r="J18" s="7" t="n">
        <f aca="false">IF(I18="Loss",0,IF(OR(H18="",G18=""),"",IF(G18&gt;0,H18*(1+G18/100),H18*(1+100/ABS(G18)))))</f>
        <v>0</v>
      </c>
      <c r="K18" s="7" t="n">
        <f aca="false">IF(H18="","",IF(I18="Loss",-H18,IF(J18="","",J18-H18)))</f>
        <v>-2000000</v>
      </c>
      <c r="L18" s="5" t="s">
        <v>75</v>
      </c>
    </row>
    <row r="19" customFormat="false" ht="23.85" hidden="false" customHeight="false" outlineLevel="0" collapsed="false">
      <c r="A19" s="4" t="s">
        <v>79</v>
      </c>
      <c r="B19" s="4" t="s">
        <v>60</v>
      </c>
      <c r="C19" s="5" t="s">
        <v>80</v>
      </c>
      <c r="D19" s="5" t="s">
        <v>38</v>
      </c>
      <c r="E19" s="5" t="s">
        <v>81</v>
      </c>
      <c r="F19" s="4" t="s">
        <v>27</v>
      </c>
      <c r="G19" s="6"/>
      <c r="H19" s="7" t="n">
        <v>4000000</v>
      </c>
      <c r="I19" s="8" t="s">
        <v>20</v>
      </c>
      <c r="J19" s="7" t="n">
        <f aca="false">IF(I19="Loss",0,IF(OR(H19="",G19=""),"",IF(G19&gt;0,H19*(1+G19/100),H19*(1+100/ABS(G19)))))</f>
        <v>0</v>
      </c>
      <c r="K19" s="7" t="n">
        <f aca="false">IF(H19="","",IF(I19="Loss",-H19,IF(J19="","",J19-H19)))</f>
        <v>-4000000</v>
      </c>
      <c r="L19" s="5" t="s">
        <v>82</v>
      </c>
    </row>
    <row r="20" customFormat="false" ht="15" hidden="false" customHeight="false" outlineLevel="0" collapsed="false">
      <c r="A20" s="4" t="s">
        <v>83</v>
      </c>
      <c r="B20" s="4" t="s">
        <v>36</v>
      </c>
      <c r="C20" s="5" t="s">
        <v>84</v>
      </c>
      <c r="D20" s="5" t="s">
        <v>38</v>
      </c>
      <c r="E20" s="5" t="s">
        <v>85</v>
      </c>
      <c r="F20" s="4" t="s">
        <v>27</v>
      </c>
      <c r="G20" s="6"/>
      <c r="H20" s="7" t="n">
        <v>1200000</v>
      </c>
      <c r="I20" s="8" t="s">
        <v>20</v>
      </c>
      <c r="J20" s="7" t="n">
        <f aca="false">IF(I20="Loss",0,IF(OR(H20="",G20=""),"",IF(G20&gt;0,H20*(1+G20/100),H20*(1+100/ABS(G20)))))</f>
        <v>0</v>
      </c>
      <c r="K20" s="7" t="n">
        <f aca="false">IF(H20="","",IF(I20="Loss",-H20,IF(J20="","",J20-H20)))</f>
        <v>-1200000</v>
      </c>
      <c r="L20" s="5" t="s">
        <v>86</v>
      </c>
    </row>
    <row r="21" customFormat="false" ht="23.85" hidden="false" customHeight="false" outlineLevel="0" collapsed="false">
      <c r="A21" s="4" t="s">
        <v>87</v>
      </c>
      <c r="B21" s="4" t="s">
        <v>15</v>
      </c>
      <c r="C21" s="5" t="s">
        <v>16</v>
      </c>
      <c r="D21" s="5" t="s">
        <v>88</v>
      </c>
      <c r="E21" s="5" t="s">
        <v>89</v>
      </c>
      <c r="F21" s="4" t="s">
        <v>90</v>
      </c>
      <c r="G21" s="6" t="n">
        <v>600</v>
      </c>
      <c r="H21" s="7" t="n">
        <v>8000000</v>
      </c>
      <c r="I21" s="8" t="s">
        <v>20</v>
      </c>
      <c r="J21" s="7" t="n">
        <f aca="false">IF(I21="Loss",0,IF(OR(H21="",G21=""),"",IF(G21&gt;0,H21*(1+G21/100),H21*(1+100/ABS(G21)))))</f>
        <v>0</v>
      </c>
      <c r="K21" s="7" t="n">
        <f aca="false">IF(H21="","",IF(I21="Loss",-H21,IF(J21="","",J21-H21)))</f>
        <v>-8000000</v>
      </c>
      <c r="L21" s="5" t="s">
        <v>91</v>
      </c>
    </row>
    <row r="22" customFormat="false" ht="15" hidden="false" customHeight="false" outlineLevel="0" collapsed="false">
      <c r="A22" s="4" t="s">
        <v>92</v>
      </c>
      <c r="B22" s="4" t="s">
        <v>23</v>
      </c>
      <c r="C22" s="5" t="s">
        <v>93</v>
      </c>
      <c r="D22" s="5" t="s">
        <v>94</v>
      </c>
      <c r="E22" s="5" t="s">
        <v>78</v>
      </c>
      <c r="F22" s="4" t="s">
        <v>27</v>
      </c>
      <c r="G22" s="6"/>
      <c r="H22" s="7" t="n">
        <v>300000</v>
      </c>
      <c r="I22" s="8" t="s">
        <v>20</v>
      </c>
      <c r="J22" s="7" t="n">
        <f aca="false">IF(I22="Loss",0,IF(OR(H22="",G22=""),"",IF(G22&gt;0,H22*(1+G22/100),H22*(1+100/ABS(G22)))))</f>
        <v>0</v>
      </c>
      <c r="K22" s="7" t="n">
        <f aca="false">IF(H22="","",IF(I22="Loss",-H22,IF(J22="","",J22-H22)))</f>
        <v>-300000</v>
      </c>
      <c r="L22" s="5" t="s">
        <v>86</v>
      </c>
    </row>
    <row r="23" customFormat="false" ht="15" hidden="false" customHeight="false" outlineLevel="0" collapsed="false">
      <c r="A23" s="4" t="s">
        <v>95</v>
      </c>
      <c r="B23" s="4" t="s">
        <v>60</v>
      </c>
      <c r="C23" s="5" t="s">
        <v>80</v>
      </c>
      <c r="D23" s="5" t="s">
        <v>38</v>
      </c>
      <c r="E23" s="5" t="s">
        <v>81</v>
      </c>
      <c r="F23" s="4" t="s">
        <v>27</v>
      </c>
      <c r="G23" s="6"/>
      <c r="H23" s="7"/>
      <c r="I23" s="8" t="s">
        <v>20</v>
      </c>
      <c r="J23" s="7" t="n">
        <f aca="false">IF(I23="Loss",0,IF(OR(H23="",G23=""),"",IF(G23&gt;0,H23*(1+G23/100),H23*(1+100/ABS(G23)))))</f>
        <v>0</v>
      </c>
      <c r="K23" s="7" t="str">
        <f aca="false">IF(H23="","",IF(I23="Loss",-H23,IF(J23="","",J23-H23)))</f>
        <v/>
      </c>
      <c r="L23" s="5" t="s">
        <v>96</v>
      </c>
    </row>
    <row r="24" customFormat="false" ht="23.85" hidden="false" customHeight="false" outlineLevel="0" collapsed="false">
      <c r="A24" s="4" t="s">
        <v>97</v>
      </c>
      <c r="B24" s="4" t="s">
        <v>23</v>
      </c>
      <c r="C24" s="5" t="s">
        <v>47</v>
      </c>
      <c r="D24" s="5" t="s">
        <v>98</v>
      </c>
      <c r="E24" s="5" t="s">
        <v>99</v>
      </c>
      <c r="F24" s="4" t="s">
        <v>57</v>
      </c>
      <c r="G24" s="6"/>
      <c r="H24" s="7" t="n">
        <v>3300000</v>
      </c>
      <c r="I24" s="8" t="s">
        <v>20</v>
      </c>
      <c r="J24" s="7" t="n">
        <f aca="false">IF(I24="Loss",0,IF(OR(H24="",G24=""),"",IF(G24&gt;0,H24*(1+G24/100),H24*(1+100/ABS(G24)))))</f>
        <v>0</v>
      </c>
      <c r="K24" s="7" t="n">
        <f aca="false">IF(H24="","",IF(I24="Loss",-H24,IF(J24="","",J24-H24)))</f>
        <v>-3300000</v>
      </c>
      <c r="L24" s="5" t="s">
        <v>100</v>
      </c>
    </row>
    <row r="26" customFormat="false" ht="15" hidden="false" customHeight="false" outlineLevel="0" collapsed="false">
      <c r="A26" s="10" t="s">
        <v>101</v>
      </c>
    </row>
    <row r="27" customFormat="false" ht="15" hidden="false" customHeight="false" outlineLevel="0" collapsed="false">
      <c r="A27" s="11" t="s">
        <v>102</v>
      </c>
    </row>
    <row r="28" customFormat="false" ht="15" hidden="false" customHeight="false" outlineLevel="0" collapsed="false">
      <c r="A28" s="11" t="s">
        <v>103</v>
      </c>
    </row>
    <row r="29" customFormat="false" ht="15" hidden="false" customHeight="false" outlineLevel="0" collapsed="false">
      <c r="A29" s="11" t="s">
        <v>104</v>
      </c>
    </row>
    <row r="30" customFormat="false" ht="15" hidden="false" customHeight="false" outlineLevel="0" collapsed="false">
      <c r="A30" s="11" t="s">
        <v>105</v>
      </c>
    </row>
    <row r="31" customFormat="false" ht="15" hidden="false" customHeight="false" outlineLevel="0" collapsed="false">
      <c r="A31" s="11" t="s">
        <v>106</v>
      </c>
    </row>
    <row r="32" customFormat="false" ht="15" hidden="false" customHeight="false" outlineLevel="0" collapsed="false">
      <c r="A32" s="11" t="s">
        <v>107</v>
      </c>
    </row>
    <row r="33" customFormat="false" ht="15" hidden="false" customHeight="false" outlineLevel="0" collapsed="false">
      <c r="A33" s="11" t="s">
        <v>108</v>
      </c>
    </row>
    <row r="34" customFormat="false" ht="15" hidden="false" customHeight="false" outlineLevel="0" collapsed="false">
      <c r="A34" s="11" t="s">
        <v>109</v>
      </c>
    </row>
  </sheetData>
  <autoFilter ref="A4:L24"/>
  <conditionalFormatting sqref="I5:I24">
    <cfRule type="cellIs" priority="2" operator="equal" aboveAverage="0" equalAverage="0" bottom="0" percent="0" rank="0" text="" dxfId="6">
      <formula>"Win"</formula>
    </cfRule>
    <cfRule type="cellIs" priority="3" operator="equal" aboveAverage="0" equalAverage="0" bottom="0" percent="0" rank="0" text="" dxfId="7">
      <formula>"Loss"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12" t="s">
        <v>111</v>
      </c>
      <c r="B3" s="13" t="n">
        <f aca="false">COUNTA(Bets!I5:I24)</f>
        <v>20</v>
      </c>
    </row>
    <row r="4" customFormat="false" ht="15" hidden="false" customHeight="false" outlineLevel="0" collapsed="false">
      <c r="A4" s="12" t="s">
        <v>112</v>
      </c>
      <c r="B4" s="13" t="n">
        <f aca="false">COUNTIF(Bets!I5:I24,"Win")</f>
        <v>3</v>
      </c>
    </row>
    <row r="5" customFormat="false" ht="15" hidden="false" customHeight="false" outlineLevel="0" collapsed="false">
      <c r="A5" s="12" t="s">
        <v>113</v>
      </c>
      <c r="B5" s="13" t="n">
        <f aca="false">COUNTIF(Bets!I5:I24,"Loss")</f>
        <v>17</v>
      </c>
    </row>
    <row r="6" customFormat="false" ht="15" hidden="false" customHeight="false" outlineLevel="0" collapsed="false">
      <c r="A6" s="12" t="s">
        <v>114</v>
      </c>
      <c r="B6" s="14" t="n">
        <f aca="false">IF(B3=0,0,B4/B3)</f>
        <v>0.15</v>
      </c>
    </row>
    <row r="7" customFormat="false" ht="15" hidden="false" customHeight="false" outlineLevel="0" collapsed="false">
      <c r="A7" s="12" t="s">
        <v>115</v>
      </c>
      <c r="B7" s="13" t="n">
        <f aca="false">COUNT(Bets!H5:H24)</f>
        <v>19</v>
      </c>
    </row>
    <row r="8" customFormat="false" ht="15" hidden="false" customHeight="false" outlineLevel="0" collapsed="false">
      <c r="A8" s="12" t="s">
        <v>116</v>
      </c>
      <c r="B8" s="15" t="n">
        <f aca="false">SUM(Bets!H5:H24)</f>
        <v>86260000</v>
      </c>
    </row>
    <row r="9" customFormat="false" ht="15" hidden="false" customHeight="false" outlineLevel="0" collapsed="false">
      <c r="A9" s="12" t="s">
        <v>117</v>
      </c>
      <c r="B9" s="15" t="n">
        <f aca="false">SUM(Bets!J5:J24)</f>
        <v>109784409.448819</v>
      </c>
    </row>
    <row r="10" customFormat="false" ht="15" hidden="false" customHeight="false" outlineLevel="0" collapsed="false">
      <c r="A10" s="12" t="s">
        <v>118</v>
      </c>
      <c r="B10" s="15" t="n">
        <f aca="false">SUM(Bets!K5:K24)</f>
        <v>23524409.4488189</v>
      </c>
    </row>
    <row r="11" customFormat="false" ht="15" hidden="false" customHeight="false" outlineLevel="0" collapsed="false">
      <c r="A11" s="12" t="s">
        <v>119</v>
      </c>
      <c r="B11" s="14" t="n">
        <f aca="false">IF(B8=0,0,B10/B8)</f>
        <v>0.272715157069544</v>
      </c>
    </row>
    <row r="12" customFormat="false" ht="15" hidden="false" customHeight="false" outlineLevel="0" collapsed="false">
      <c r="A12" s="12" t="s">
        <v>120</v>
      </c>
      <c r="B12" s="15" t="n">
        <f aca="false">MAX(Bets!K5:K24)</f>
        <v>72600000</v>
      </c>
    </row>
    <row r="13" customFormat="false" ht="15" hidden="false" customHeight="false" outlineLevel="0" collapsed="false">
      <c r="A13" s="12" t="s">
        <v>121</v>
      </c>
      <c r="B13" s="15" t="n">
        <f aca="false">MIN(Bets!K5:K24)</f>
        <v>-13000000</v>
      </c>
    </row>
    <row r="14" customFormat="false" ht="15" hidden="false" customHeight="false" outlineLevel="0" collapsed="false">
      <c r="A14" s="12" t="s">
        <v>122</v>
      </c>
      <c r="B14" s="15" t="n">
        <f aca="false">MAX(Bets!H5:H24)</f>
        <v>13000000</v>
      </c>
    </row>
    <row r="17" customFormat="false" ht="15" hidden="false" customHeight="false" outlineLevel="0" collapsed="false">
      <c r="A17" s="16" t="s">
        <v>123</v>
      </c>
    </row>
    <row r="18" customFormat="false" ht="15" hidden="false" customHeight="false" outlineLevel="0" collapsed="false">
      <c r="A18" s="17" t="s">
        <v>3</v>
      </c>
      <c r="B18" s="17" t="s">
        <v>124</v>
      </c>
      <c r="C18" s="17" t="s">
        <v>112</v>
      </c>
      <c r="D18" s="17" t="s">
        <v>113</v>
      </c>
      <c r="E18" s="17" t="s">
        <v>125</v>
      </c>
      <c r="F18" s="17" t="s">
        <v>126</v>
      </c>
    </row>
    <row r="19" customFormat="false" ht="15" hidden="false" customHeight="false" outlineLevel="0" collapsed="false">
      <c r="A19" s="18" t="s">
        <v>49</v>
      </c>
      <c r="B19" s="18" t="n">
        <f aca="false">COUNTIF(Bets!$B$5:$B$24,A19)</f>
        <v>2</v>
      </c>
      <c r="C19" s="18" t="n">
        <f aca="false">COUNTIFS(Bets!$B$5:$B$24,A19,Bets!$I$5:$I$24,"Win")</f>
        <v>0</v>
      </c>
      <c r="D19" s="18" t="n">
        <f aca="false">COUNTIFS(Bets!$B$5:$B$24,A19,Bets!$I$5:$I$24,"Loss")</f>
        <v>2</v>
      </c>
      <c r="E19" s="19" t="n">
        <f aca="false">SUMIF(Bets!$B$5:$B$24,A19,Bets!$H$5:$H$24)</f>
        <v>9200000</v>
      </c>
      <c r="F19" s="19" t="n">
        <f aca="false">SUMIF(Bets!$B$5:$B$24,A19,Bets!$K$5:$K$24)</f>
        <v>-9200000</v>
      </c>
    </row>
    <row r="20" customFormat="false" ht="15" hidden="false" customHeight="false" outlineLevel="0" collapsed="false">
      <c r="A20" s="18" t="s">
        <v>36</v>
      </c>
      <c r="B20" s="18" t="n">
        <f aca="false">COUNTIF(Bets!$B$5:$B$24,A20)</f>
        <v>3</v>
      </c>
      <c r="C20" s="18" t="n">
        <f aca="false">COUNTIFS(Bets!$B$5:$B$24,A20,Bets!$I$5:$I$24,"Win")</f>
        <v>0</v>
      </c>
      <c r="D20" s="18" t="n">
        <f aca="false">COUNTIFS(Bets!$B$5:$B$24,A20,Bets!$I$5:$I$24,"Loss")</f>
        <v>3</v>
      </c>
      <c r="E20" s="19" t="n">
        <f aca="false">SUMIF(Bets!$B$5:$B$24,A20,Bets!$H$5:$H$24)</f>
        <v>7800000</v>
      </c>
      <c r="F20" s="19" t="n">
        <f aca="false">SUMIF(Bets!$B$5:$B$24,A20,Bets!$K$5:$K$24)</f>
        <v>-7800000</v>
      </c>
    </row>
    <row r="21" customFormat="false" ht="15" hidden="false" customHeight="false" outlineLevel="0" collapsed="false">
      <c r="A21" s="18" t="s">
        <v>15</v>
      </c>
      <c r="B21" s="18" t="n">
        <f aca="false">COUNTIF(Bets!$B$5:$B$24,A21)</f>
        <v>4</v>
      </c>
      <c r="C21" s="18" t="n">
        <f aca="false">COUNTIFS(Bets!$B$5:$B$24,A21,Bets!$I$5:$I$24,"Win")</f>
        <v>1</v>
      </c>
      <c r="D21" s="18" t="n">
        <f aca="false">COUNTIFS(Bets!$B$5:$B$24,A21,Bets!$I$5:$I$24,"Loss")</f>
        <v>3</v>
      </c>
      <c r="E21" s="19" t="n">
        <f aca="false">SUMIF(Bets!$B$5:$B$24,A21,Bets!$H$5:$H$24)</f>
        <v>34200000</v>
      </c>
      <c r="F21" s="19" t="n">
        <f aca="false">SUMIF(Bets!$B$5:$B$24,A21,Bets!$K$5:$K$24)</f>
        <v>48400000</v>
      </c>
    </row>
    <row r="22" customFormat="false" ht="15" hidden="false" customHeight="false" outlineLevel="0" collapsed="false">
      <c r="A22" s="18" t="s">
        <v>60</v>
      </c>
      <c r="B22" s="18" t="n">
        <f aca="false">COUNTIF(Bets!$B$5:$B$24,A22)</f>
        <v>3</v>
      </c>
      <c r="C22" s="18" t="n">
        <f aca="false">COUNTIFS(Bets!$B$5:$B$24,A22,Bets!$I$5:$I$24,"Win")</f>
        <v>1</v>
      </c>
      <c r="D22" s="18" t="n">
        <f aca="false">COUNTIFS(Bets!$B$5:$B$24,A22,Bets!$I$5:$I$24,"Loss")</f>
        <v>2</v>
      </c>
      <c r="E22" s="19" t="n">
        <f aca="false">SUMIF(Bets!$B$5:$B$24,A22,Bets!$H$5:$H$24)</f>
        <v>12800000</v>
      </c>
      <c r="F22" s="19" t="n">
        <f aca="false">SUMIF(Bets!$B$5:$B$24,A22,Bets!$K$5:$K$24)</f>
        <v>8200000</v>
      </c>
    </row>
    <row r="23" customFormat="false" ht="15" hidden="false" customHeight="false" outlineLevel="0" collapsed="false">
      <c r="A23" s="18" t="s">
        <v>23</v>
      </c>
      <c r="B23" s="18" t="n">
        <f aca="false">COUNTIF(Bets!$B$5:$B$24,A23)</f>
        <v>8</v>
      </c>
      <c r="C23" s="18" t="n">
        <f aca="false">COUNTIFS(Bets!$B$5:$B$24,A23,Bets!$I$5:$I$24,"Win")</f>
        <v>1</v>
      </c>
      <c r="D23" s="18" t="n">
        <f aca="false">COUNTIFS(Bets!$B$5:$B$24,A23,Bets!$I$5:$I$24,"Loss")</f>
        <v>7</v>
      </c>
      <c r="E23" s="19" t="n">
        <f aca="false">SUMIF(Bets!$B$5:$B$24,A23,Bets!$H$5:$H$24)</f>
        <v>22260000</v>
      </c>
      <c r="F23" s="19" t="n">
        <f aca="false">SUMIF(Bets!$B$5:$B$24,A23,Bets!$K$5:$K$24)</f>
        <v>-16075590.5511811</v>
      </c>
    </row>
    <row r="24" customFormat="false" ht="15" hidden="false" customHeight="false" outlineLevel="0" collapsed="false">
      <c r="A24" s="12" t="s">
        <v>127</v>
      </c>
      <c r="B24" s="20" t="n">
        <f aca="false">SUM(B19:B23)</f>
        <v>20</v>
      </c>
      <c r="C24" s="20" t="n">
        <f aca="false">SUM(C19:C23)</f>
        <v>3</v>
      </c>
      <c r="D24" s="20" t="n">
        <f aca="false">SUM(D19:D23)</f>
        <v>17</v>
      </c>
      <c r="E24" s="21" t="n">
        <f aca="false">SUM(E19:E23)</f>
        <v>86260000</v>
      </c>
      <c r="F24" s="21" t="n">
        <f aca="false">SUM(F19:F23)</f>
        <v>23524409.4488189</v>
      </c>
    </row>
    <row r="26" customFormat="false" ht="15" hidden="false" customHeight="false" outlineLevel="0" collapsed="false">
      <c r="A26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2026-08-28T23:27:52Z</dcterms:created>
  <dc:creator>openpyxl</dc:creator>
  <dc:description/>
  <dc:language>en-US</dc:language>
  <cp:lastModifiedBy/>
  <dcterms:modified xsi:type="dcterms:W3CDTF">2026-08-28T23:27:52Z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