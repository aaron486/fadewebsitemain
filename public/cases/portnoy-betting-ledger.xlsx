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ts" sheetId="1" state="visible" r:id="rId3"/>
    <sheet name="Summary" sheetId="2" state="visible" r:id="rId4"/>
  </sheets>
  <definedNames>
    <definedName function="false" hidden="true" localSheetId="0" name="_xlnm._FilterDatabase" vbProcedure="false">Bets!$A$4:$L$34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<sst xmlns="http://schemas.openxmlformats.org/spreadsheetml/2006/main" count="294" uniqueCount="164">
  <si>
    <t xml:space="preserve">Dave Portnoy — Publicly Reported Betting History</t>
  </si>
  <si>
    <t xml:space="preserve">Compiled from public reports (X posts, DraftKings-confirmed wagers, media coverage). Blank Wager/Payout cells = amount not publicly reported. Payout &amp; Net are formulas.</t>
  </si>
  <si>
    <t xml:space="preserve">Date</t>
  </si>
  <si>
    <t xml:space="preserve">Sport</t>
  </si>
  <si>
    <t xml:space="preserve">Pick (Team / Side)</t>
  </si>
  <si>
    <t xml:space="preserve">Opponent</t>
  </si>
  <si>
    <t xml:space="preserve">Bet Type / Details</t>
  </si>
  <si>
    <t xml:space="preserve">Sportsbook</t>
  </si>
  <si>
    <t xml:space="preserve">Odds (American)</t>
  </si>
  <si>
    <t xml:space="preserve">Wager ($)</t>
  </si>
  <si>
    <t xml:space="preserve">Result</t>
  </si>
  <si>
    <t xml:space="preserve">Total Payout ($)</t>
  </si>
  <si>
    <t xml:space="preserve">Net Profit/Loss ($)</t>
  </si>
  <si>
    <t xml:space="preserve">Source</t>
  </si>
  <si>
    <t xml:space="preserve">2021-11-20</t>
  </si>
  <si>
    <t xml:space="preserve">CFB</t>
  </si>
  <si>
    <t xml:space="preserve">Virginia Tech</t>
  </si>
  <si>
    <t xml:space="preserve">Miami</t>
  </si>
  <si>
    <t xml:space="preserve">Moneyline</t>
  </si>
  <si>
    <t xml:space="preserve">Reported</t>
  </si>
  <si>
    <t xml:space="preserve">Loss</t>
  </si>
  <si>
    <t xml:space="preserve">OnlineBookiesOffers</t>
  </si>
  <si>
    <t xml:space="preserve">2023-11</t>
  </si>
  <si>
    <t xml:space="preserve">NFL</t>
  </si>
  <si>
    <t xml:space="preserve">Multiple NFL bets</t>
  </si>
  <si>
    <t xml:space="preserve">Multiple</t>
  </si>
  <si>
    <t xml:space="preserve">Aggregate (Nov 2023)</t>
  </si>
  <si>
    <t xml:space="preserve">2024-01-01</t>
  </si>
  <si>
    <t xml:space="preserve">Michigan</t>
  </si>
  <si>
    <t xml:space="preserve">Alabama</t>
  </si>
  <si>
    <t xml:space="preserve">Moneyline — Rose Bowl / CFP Semi</t>
  </si>
  <si>
    <t xml:space="preserve">DraftKings</t>
  </si>
  <si>
    <t xml:space="preserve">Win</t>
  </si>
  <si>
    <t xml:space="preserve">BetMassachusetts tracker</t>
  </si>
  <si>
    <t xml:space="preserve">2024-02-11</t>
  </si>
  <si>
    <t xml:space="preserve">Kansas City Chiefs</t>
  </si>
  <si>
    <t xml:space="preserve">San Francisco 49ers</t>
  </si>
  <si>
    <t xml:space="preserve">Moneyline — Super Bowl LVIII</t>
  </si>
  <si>
    <t xml:space="preserve">OnlineBookiesOffers / Fox Business</t>
  </si>
  <si>
    <t xml:space="preserve">Coin toss side</t>
  </si>
  <si>
    <t xml:space="preserve">Coin toss</t>
  </si>
  <si>
    <t xml:space="preserve">Prop — Super Bowl LVIII coin toss</t>
  </si>
  <si>
    <t xml:space="preserve">2024-03-20</t>
  </si>
  <si>
    <t xml:space="preserve">NCAAB</t>
  </si>
  <si>
    <t xml:space="preserve">UConn</t>
  </si>
  <si>
    <t xml:space="preserve">Field</t>
  </si>
  <si>
    <t xml:space="preserve">Futures — NCAA Tournament champion</t>
  </si>
  <si>
    <t xml:space="preserve">NBC News / DraftKings confirmed</t>
  </si>
  <si>
    <t xml:space="preserve">2024-04-10</t>
  </si>
  <si>
    <t xml:space="preserve">Golf</t>
  </si>
  <si>
    <t xml:space="preserve">Scottie Scheffler</t>
  </si>
  <si>
    <t xml:space="preserve">Futures — Masters winner</t>
  </si>
  <si>
    <t xml:space="preserve">2024-04-19</t>
  </si>
  <si>
    <t xml:space="preserve">NHL</t>
  </si>
  <si>
    <t xml:space="preserve">Edmonton Oilers</t>
  </si>
  <si>
    <t xml:space="preserve">Futures — Stanley Cup champion</t>
  </si>
  <si>
    <t xml:space="preserve">2024-06-25</t>
  </si>
  <si>
    <t xml:space="preserve">MLB</t>
  </si>
  <si>
    <t xml:space="preserve">Philadelphia Phillies</t>
  </si>
  <si>
    <t xml:space="preserve">Futures — World Series champion</t>
  </si>
  <si>
    <t xml:space="preserve">2024-08-11</t>
  </si>
  <si>
    <t xml:space="preserve">WNBA</t>
  </si>
  <si>
    <t xml:space="preserve">Indiana Fever</t>
  </si>
  <si>
    <t xml:space="preserve">Futures — WNBA champion</t>
  </si>
  <si>
    <t xml:space="preserve">2024-09-05</t>
  </si>
  <si>
    <t xml:space="preserve">Baltimore Ravens</t>
  </si>
  <si>
    <t xml:space="preserve">Moneyline — season opener</t>
  </si>
  <si>
    <t xml:space="preserve">Las Vegas Review-Journal</t>
  </si>
  <si>
    <t xml:space="preserve">2024-09-06</t>
  </si>
  <si>
    <t xml:space="preserve">WNBA/CFB</t>
  </si>
  <si>
    <t xml:space="preserve">Indiana Fever + Michigan</t>
  </si>
  <si>
    <t xml:space="preserve">Minnesota Lynx + Texas</t>
  </si>
  <si>
    <t xml:space="preserve">2-leg parlay (both ML)</t>
  </si>
  <si>
    <t xml:space="preserve">2024-09-19</t>
  </si>
  <si>
    <t xml:space="preserve">New England Patriots +6</t>
  </si>
  <si>
    <t xml:space="preserve">New York Jets</t>
  </si>
  <si>
    <t xml:space="preserve">3-leg parlay: Pats +6, Rodgers U214.5 pass yds, Hunter Henry TD</t>
  </si>
  <si>
    <t xml:space="preserve">2024-10-22</t>
  </si>
  <si>
    <t xml:space="preserve">NBA</t>
  </si>
  <si>
    <t xml:space="preserve">Boston Celtics</t>
  </si>
  <si>
    <t xml:space="preserve">New York Knicks</t>
  </si>
  <si>
    <t xml:space="preserve">6-leg SGP: Celtics -5.5, O114.5 team pts, Brown/White 3s, Tatum 25+, Brown 24+</t>
  </si>
  <si>
    <t xml:space="preserve">2024-11-10</t>
  </si>
  <si>
    <t xml:space="preserve">Ekeler / T. Hill / Dobbins TD</t>
  </si>
  <si>
    <t xml:space="preserve">3-leg anytime TD parlay</t>
  </si>
  <si>
    <t xml:space="preserve">2024-11-15</t>
  </si>
  <si>
    <t xml:space="preserve">Boxing</t>
  </si>
  <si>
    <t xml:space="preserve">Jake Paul</t>
  </si>
  <si>
    <t xml:space="preserve">Mike Tyson</t>
  </si>
  <si>
    <t xml:space="preserve">2024-12-01</t>
  </si>
  <si>
    <t xml:space="preserve">Mixon / Hurts / Chase TD</t>
  </si>
  <si>
    <t xml:space="preserve">2024-12-15</t>
  </si>
  <si>
    <t xml:space="preserve">Achane / B. Robinson / Chase TD</t>
  </si>
  <si>
    <t xml:space="preserve">2024-12-29</t>
  </si>
  <si>
    <t xml:space="preserve">Pickett TD / J. Taylor 2 TD / B. Robinson TD</t>
  </si>
  <si>
    <t xml:space="preserve">3-leg TD parlay (to win $362,900)</t>
  </si>
  <si>
    <t xml:space="preserve">The Spun</t>
  </si>
  <si>
    <t xml:space="preserve">2025-01-12</t>
  </si>
  <si>
    <t xml:space="preserve">Tampa Bay Buccaneers props + Daniels</t>
  </si>
  <si>
    <t xml:space="preserve">Washington Commanders</t>
  </si>
  <si>
    <t xml:space="preserve">4-leg parlay: Evans TD, Irving TD, Irving 70+ rush, Daniels 40+ rush</t>
  </si>
  <si>
    <t xml:space="preserve">2025-01-19</t>
  </si>
  <si>
    <t xml:space="preserve">Buffalo Bills</t>
  </si>
  <si>
    <t xml:space="preserve">Futures — Super Bowl LIX champion</t>
  </si>
  <si>
    <t xml:space="preserve">Las Vegas Review-Journal / SI</t>
  </si>
  <si>
    <t xml:space="preserve">2025-03-20</t>
  </si>
  <si>
    <t xml:space="preserve">Houston -28.5 / Michigan -2.5 / Arkansas +4.5</t>
  </si>
  <si>
    <t xml:space="preserve">SIU Edwardsville / UC San Diego / Kansas</t>
  </si>
  <si>
    <t xml:space="preserve">3-leg spread parlay — Round of 64</t>
  </si>
  <si>
    <t xml:space="preserve">Michigan St / UNC / Michigan / Maryland</t>
  </si>
  <si>
    <t xml:space="preserve">4-leg parlay — each to reach Sweet 16</t>
  </si>
  <si>
    <t xml:space="preserve">2025-05-05</t>
  </si>
  <si>
    <t xml:space="preserve">Boston Celtics props</t>
  </si>
  <si>
    <t xml:space="preserve">3-leg parlay: White 4+ 3s, White 20+ pts, Tatum 4+ 3s (Game 1)</t>
  </si>
  <si>
    <t xml:space="preserve">2025-05-17</t>
  </si>
  <si>
    <t xml:space="preserve">Caitlin Clark (Indiana Fever)</t>
  </si>
  <si>
    <t xml:space="preserve">Chicago Sky</t>
  </si>
  <si>
    <t xml:space="preserve">Prop — triple-double</t>
  </si>
  <si>
    <t xml:space="preserve">2025-05-22</t>
  </si>
  <si>
    <t xml:space="preserve">Indiana Fever props</t>
  </si>
  <si>
    <t xml:space="preserve">Atlanta Dream</t>
  </si>
  <si>
    <t xml:space="preserve">3-leg parlay: Mitchell 20+, Boston 15+, Clark 12+ ast</t>
  </si>
  <si>
    <t xml:space="preserve">2025-05-31</t>
  </si>
  <si>
    <t xml:space="preserve">Florida Panthers</t>
  </si>
  <si>
    <t xml:space="preserve">Series prop — Oilers win Final in 6</t>
  </si>
  <si>
    <t xml:space="preserve">2025-10-05</t>
  </si>
  <si>
    <t xml:space="preserve">New England Patriots</t>
  </si>
  <si>
    <t xml:space="preserve">Futures — Super Bowl LX champion</t>
  </si>
  <si>
    <t xml:space="preserve">LV Review-Journal / Yahoo</t>
  </si>
  <si>
    <t xml:space="preserve">2025-11-29</t>
  </si>
  <si>
    <t xml:space="preserve">Ohio State</t>
  </si>
  <si>
    <t xml:space="preserve">Side bet w/ Urban Meyer — $1,000 to winner's NIL fund</t>
  </si>
  <si>
    <t xml:space="preserve">Personal (TV)</t>
  </si>
  <si>
    <t xml:space="preserve">Yahoo Sports / NY Post</t>
  </si>
  <si>
    <t xml:space="preserve">2026-05-03</t>
  </si>
  <si>
    <t xml:space="preserve">Vegas Golden Knights</t>
  </si>
  <si>
    <t xml:space="preserve">LV Review-Journal / Covers</t>
  </si>
  <si>
    <t xml:space="preserve">Notes &amp; assumptions:</t>
  </si>
  <si>
    <t xml:space="preserve">• Row 8 (Chiefs SB LVIII): odds not publicly reported; multiple outlets report the $500K bet roughly doubled, so payout is hardcoded at $1,000,000 (blue text).</t>
  </si>
  <si>
    <t xml:space="preserve">• Pick = the team/player/side Portnoy backed; Opponent = who they played ("Field" for futures/tournament winners, "Multiple" for cross-game parlays).</t>
  </si>
  <si>
    <t xml:space="preserve">• Nov 2023 row is an aggregate figure reported by OnlineBookiesOffers, not a single ticket.</t>
  </si>
  <si>
    <t xml:space="preserve">• Parlay rows with blank wagers were shown publicly on X but the stake was not reported; they are counted in the win/loss record but not in dollar totals.</t>
  </si>
  <si>
    <t xml:space="preserve">• Dec 29, 2024 parlay odds are back-calculated from the reported $10,000 stake / $362,900 potential payout.</t>
  </si>
  <si>
    <t xml:space="preserve">• Payout formula: for positive odds, Wager × (1 + Odds/100); for negative odds, Wager × (1 + 100/|Odds|). Losses = $0 payout.</t>
  </si>
  <si>
    <t xml:space="preserve">• Sources: BetMassachusetts.com Portnoy Bet Tracker; Las Vegas Review-Journal; NBC News/CNBC; Yahoo Sports; The Spun; OnlineBookiesOffers.co.uk; SI; Fox Business.</t>
  </si>
  <si>
    <t xml:space="preserve">Summary — Publicly Reported Bets</t>
  </si>
  <si>
    <t xml:space="preserve">Total bets tracked</t>
  </si>
  <si>
    <t xml:space="preserve">Wins</t>
  </si>
  <si>
    <t xml:space="preserve">Losses</t>
  </si>
  <si>
    <t xml:space="preserve">Win rate</t>
  </si>
  <si>
    <t xml:space="preserve">Bets with reported stake</t>
  </si>
  <si>
    <t xml:space="preserve">Total wagered (reported stakes)</t>
  </si>
  <si>
    <t xml:space="preserve">Total payouts received</t>
  </si>
  <si>
    <t xml:space="preserve">Net profit / loss</t>
  </si>
  <si>
    <t xml:space="preserve">ROI on reported stakes</t>
  </si>
  <si>
    <t xml:space="preserve">Biggest single win (net)</t>
  </si>
  <si>
    <t xml:space="preserve">Biggest single loss (net)</t>
  </si>
  <si>
    <t xml:space="preserve">Largest wager</t>
  </si>
  <si>
    <t xml:space="preserve">By Sport</t>
  </si>
  <si>
    <t xml:space="preserve">Bets</t>
  </si>
  <si>
    <t xml:space="preserve">Wagered ($)</t>
  </si>
  <si>
    <t xml:space="preserve">Net ($)</t>
  </si>
  <si>
    <t xml:space="preserve">Total</t>
  </si>
  <si>
    <t xml:space="preserve">Dollar totals only include bets with a publicly reported stake. Win/loss counts include every tracked bet.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</si>
</sst>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+0;\-0"/>
    <numFmt numFmtId="166" formatCode="\$#,##0;&quot;($&quot;#,##0\);\-"/>
    <numFmt numFmtId="167" formatCode="0"/>
    <numFmt numFmtId="168" formatCode="0.0%"/>
    <numFmt numFmtId="169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5" t="s">
        <v>16</v>
      </c>
      <c r="D5" s="5" t="s">
        <v>17</v>
      </c>
      <c r="E5" s="5" t="s">
        <v>18</v>
      </c>
      <c r="F5" s="4" t="s">
        <v>19</v>
      </c>
      <c r="G5" s="6" t="n">
        <v>220</v>
      </c>
      <c r="H5" s="7" t="n">
        <v>500000</v>
      </c>
      <c r="I5" s="8" t="s">
        <v>20</v>
      </c>
      <c r="J5" s="7" t="n">
        <f aca="false">IF(I5="Loss",0,IF(OR(H5="",G5=""),"",IF(G5&gt;0,H5*(1+G5/100),H5*(1+100/ABS(G5)))))</f>
        <v>0</v>
      </c>
      <c r="K5" s="7" t="n">
        <f aca="false">IF(H5="","",IF(I5="Loss",-H5,IF(J5="","",J5-H5)))</f>
        <v>-500000</v>
      </c>
      <c r="L5" s="5" t="s">
        <v>21</v>
      </c>
    </row>
    <row r="6" customFormat="false" ht="15" hidden="false" customHeight="false" outlineLevel="0" collapsed="false">
      <c r="A6" s="4" t="s">
        <v>22</v>
      </c>
      <c r="B6" s="4" t="s">
        <v>23</v>
      </c>
      <c r="C6" s="5" t="s">
        <v>24</v>
      </c>
      <c r="D6" s="5" t="s">
        <v>25</v>
      </c>
      <c r="E6" s="5" t="s">
        <v>26</v>
      </c>
      <c r="F6" s="4" t="s">
        <v>19</v>
      </c>
      <c r="G6" s="6"/>
      <c r="H6" s="7" t="n">
        <v>120000</v>
      </c>
      <c r="I6" s="8" t="s">
        <v>20</v>
      </c>
      <c r="J6" s="7" t="n">
        <f aca="false">IF(I6="Loss",0,IF(OR(H6="",G6=""),"",IF(G6&gt;0,H6*(1+G6/100),H6*(1+100/ABS(G6)))))</f>
        <v>0</v>
      </c>
      <c r="K6" s="7" t="n">
        <f aca="false">IF(H6="","",IF(I6="Loss",-H6,IF(J6="","",J6-H6)))</f>
        <v>-120000</v>
      </c>
      <c r="L6" s="5" t="s">
        <v>21</v>
      </c>
    </row>
    <row r="7" customFormat="false" ht="15" hidden="false" customHeight="false" outlineLevel="0" collapsed="false">
      <c r="A7" s="4" t="s">
        <v>27</v>
      </c>
      <c r="B7" s="4" t="s">
        <v>15</v>
      </c>
      <c r="C7" s="5" t="s">
        <v>28</v>
      </c>
      <c r="D7" s="5" t="s">
        <v>29</v>
      </c>
      <c r="E7" s="5" t="s">
        <v>30</v>
      </c>
      <c r="F7" s="4" t="s">
        <v>31</v>
      </c>
      <c r="G7" s="6" t="n">
        <v>-118</v>
      </c>
      <c r="H7" s="7" t="n">
        <v>1000000</v>
      </c>
      <c r="I7" s="8" t="s">
        <v>32</v>
      </c>
      <c r="J7" s="7" t="n">
        <f aca="false">IF(I7="Loss",0,IF(OR(H7="",G7=""),"",IF(G7&gt;0,H7*(1+G7/100),H7*(1+100/ABS(G7)))))</f>
        <v>1847457.62711864</v>
      </c>
      <c r="K7" s="7" t="n">
        <f aca="false">IF(H7="","",IF(I7="Loss",-H7,IF(J7="","",J7-H7)))</f>
        <v>847457.627118644</v>
      </c>
      <c r="L7" s="5" t="s">
        <v>33</v>
      </c>
    </row>
    <row r="8" customFormat="false" ht="15" hidden="false" customHeight="false" outlineLevel="0" collapsed="false">
      <c r="A8" s="4" t="s">
        <v>34</v>
      </c>
      <c r="B8" s="4" t="s">
        <v>23</v>
      </c>
      <c r="C8" s="5" t="s">
        <v>35</v>
      </c>
      <c r="D8" s="5" t="s">
        <v>36</v>
      </c>
      <c r="E8" s="5" t="s">
        <v>37</v>
      </c>
      <c r="F8" s="4" t="s">
        <v>19</v>
      </c>
      <c r="G8" s="6"/>
      <c r="H8" s="7" t="n">
        <v>500000</v>
      </c>
      <c r="I8" s="8" t="s">
        <v>32</v>
      </c>
      <c r="J8" s="9" t="n">
        <v>1000000</v>
      </c>
      <c r="K8" s="7" t="n">
        <f aca="false">IF(H8="","",IF(I8="Loss",-H8,IF(J8="","",J8-H8)))</f>
        <v>500000</v>
      </c>
      <c r="L8" s="5" t="s">
        <v>38</v>
      </c>
    </row>
    <row r="9" customFormat="false" ht="15" hidden="false" customHeight="false" outlineLevel="0" collapsed="false">
      <c r="A9" s="4" t="s">
        <v>34</v>
      </c>
      <c r="B9" s="4" t="s">
        <v>23</v>
      </c>
      <c r="C9" s="5" t="s">
        <v>39</v>
      </c>
      <c r="D9" s="5" t="s">
        <v>40</v>
      </c>
      <c r="E9" s="5" t="s">
        <v>41</v>
      </c>
      <c r="F9" s="4" t="s">
        <v>19</v>
      </c>
      <c r="G9" s="6" t="n">
        <v>-105</v>
      </c>
      <c r="H9" s="7" t="n">
        <v>10000</v>
      </c>
      <c r="I9" s="8" t="s">
        <v>20</v>
      </c>
      <c r="J9" s="7" t="n">
        <f aca="false">IF(I9="Loss",0,IF(OR(H9="",G9=""),"",IF(G9&gt;0,H9*(1+G9/100),H9*(1+100/ABS(G9)))))</f>
        <v>0</v>
      </c>
      <c r="K9" s="7" t="n">
        <f aca="false">IF(H9="","",IF(I9="Loss",-H9,IF(J9="","",J9-H9)))</f>
        <v>-10000</v>
      </c>
      <c r="L9" s="5" t="s">
        <v>21</v>
      </c>
    </row>
    <row r="10" customFormat="false" ht="15" hidden="false" customHeight="false" outlineLevel="0" collapsed="false">
      <c r="A10" s="4" t="s">
        <v>42</v>
      </c>
      <c r="B10" s="4" t="s">
        <v>43</v>
      </c>
      <c r="C10" s="5" t="s">
        <v>44</v>
      </c>
      <c r="D10" s="5" t="s">
        <v>45</v>
      </c>
      <c r="E10" s="5" t="s">
        <v>46</v>
      </c>
      <c r="F10" s="4" t="s">
        <v>31</v>
      </c>
      <c r="G10" s="6" t="n">
        <v>360</v>
      </c>
      <c r="H10" s="7" t="n">
        <v>600000</v>
      </c>
      <c r="I10" s="8" t="s">
        <v>32</v>
      </c>
      <c r="J10" s="7" t="n">
        <f aca="false">IF(I10="Loss",0,IF(OR(H10="",G10=""),"",IF(G10&gt;0,H10*(1+G10/100),H10*(1+100/ABS(G10)))))</f>
        <v>2760000</v>
      </c>
      <c r="K10" s="7" t="n">
        <f aca="false">IF(H10="","",IF(I10="Loss",-H10,IF(J10="","",J10-H10)))</f>
        <v>2160000</v>
      </c>
      <c r="L10" s="5" t="s">
        <v>47</v>
      </c>
    </row>
    <row r="11" customFormat="false" ht="15" hidden="false" customHeight="false" outlineLevel="0" collapsed="false">
      <c r="A11" s="4" t="s">
        <v>48</v>
      </c>
      <c r="B11" s="4" t="s">
        <v>49</v>
      </c>
      <c r="C11" s="5" t="s">
        <v>50</v>
      </c>
      <c r="D11" s="5" t="s">
        <v>45</v>
      </c>
      <c r="E11" s="5" t="s">
        <v>51</v>
      </c>
      <c r="F11" s="4" t="s">
        <v>31</v>
      </c>
      <c r="G11" s="6" t="n">
        <v>450</v>
      </c>
      <c r="H11" s="7" t="n">
        <v>300000</v>
      </c>
      <c r="I11" s="8" t="s">
        <v>32</v>
      </c>
      <c r="J11" s="7" t="n">
        <f aca="false">IF(I11="Loss",0,IF(OR(H11="",G11=""),"",IF(G11&gt;0,H11*(1+G11/100),H11*(1+100/ABS(G11)))))</f>
        <v>1650000</v>
      </c>
      <c r="K11" s="7" t="n">
        <f aca="false">IF(H11="","",IF(I11="Loss",-H11,IF(J11="","",J11-H11)))</f>
        <v>1350000</v>
      </c>
      <c r="L11" s="5" t="s">
        <v>33</v>
      </c>
    </row>
    <row r="12" customFormat="false" ht="15" hidden="false" customHeight="false" outlineLevel="0" collapsed="false">
      <c r="A12" s="4" t="s">
        <v>52</v>
      </c>
      <c r="B12" s="4" t="s">
        <v>53</v>
      </c>
      <c r="C12" s="5" t="s">
        <v>54</v>
      </c>
      <c r="D12" s="5" t="s">
        <v>45</v>
      </c>
      <c r="E12" s="5" t="s">
        <v>55</v>
      </c>
      <c r="F12" s="4" t="s">
        <v>31</v>
      </c>
      <c r="G12" s="6" t="n">
        <v>700</v>
      </c>
      <c r="H12" s="7" t="n">
        <v>150000</v>
      </c>
      <c r="I12" s="8" t="s">
        <v>20</v>
      </c>
      <c r="J12" s="7" t="n">
        <f aca="false">IF(I12="Loss",0,IF(OR(H12="",G12=""),"",IF(G12&gt;0,H12*(1+G12/100),H12*(1+100/ABS(G12)))))</f>
        <v>0</v>
      </c>
      <c r="K12" s="7" t="n">
        <f aca="false">IF(H12="","",IF(I12="Loss",-H12,IF(J12="","",J12-H12)))</f>
        <v>-150000</v>
      </c>
      <c r="L12" s="5" t="s">
        <v>33</v>
      </c>
    </row>
    <row r="13" customFormat="false" ht="15" hidden="false" customHeight="false" outlineLevel="0" collapsed="false">
      <c r="A13" s="4" t="s">
        <v>56</v>
      </c>
      <c r="B13" s="4" t="s">
        <v>57</v>
      </c>
      <c r="C13" s="5" t="s">
        <v>58</v>
      </c>
      <c r="D13" s="5" t="s">
        <v>45</v>
      </c>
      <c r="E13" s="5" t="s">
        <v>59</v>
      </c>
      <c r="F13" s="4" t="s">
        <v>31</v>
      </c>
      <c r="G13" s="6" t="n">
        <v>600</v>
      </c>
      <c r="H13" s="7" t="n">
        <v>200000</v>
      </c>
      <c r="I13" s="8" t="s">
        <v>20</v>
      </c>
      <c r="J13" s="7" t="n">
        <f aca="false">IF(I13="Loss",0,IF(OR(H13="",G13=""),"",IF(G13&gt;0,H13*(1+G13/100),H13*(1+100/ABS(G13)))))</f>
        <v>0</v>
      </c>
      <c r="K13" s="7" t="n">
        <f aca="false">IF(H13="","",IF(I13="Loss",-H13,IF(J13="","",J13-H13)))</f>
        <v>-200000</v>
      </c>
      <c r="L13" s="5" t="s">
        <v>33</v>
      </c>
    </row>
    <row r="14" customFormat="false" ht="15" hidden="false" customHeight="false" outlineLevel="0" collapsed="false">
      <c r="A14" s="4" t="s">
        <v>60</v>
      </c>
      <c r="B14" s="4" t="s">
        <v>61</v>
      </c>
      <c r="C14" s="5" t="s">
        <v>62</v>
      </c>
      <c r="D14" s="5" t="s">
        <v>45</v>
      </c>
      <c r="E14" s="5" t="s">
        <v>63</v>
      </c>
      <c r="F14" s="4" t="s">
        <v>31</v>
      </c>
      <c r="G14" s="6" t="n">
        <v>10000</v>
      </c>
      <c r="H14" s="7" t="n">
        <v>100000</v>
      </c>
      <c r="I14" s="8" t="s">
        <v>20</v>
      </c>
      <c r="J14" s="7" t="n">
        <f aca="false">IF(I14="Loss",0,IF(OR(H14="",G14=""),"",IF(G14&gt;0,H14*(1+G14/100),H14*(1+100/ABS(G14)))))</f>
        <v>0</v>
      </c>
      <c r="K14" s="7" t="n">
        <f aca="false">IF(H14="","",IF(I14="Loss",-H14,IF(J14="","",J14-H14)))</f>
        <v>-100000</v>
      </c>
      <c r="L14" s="5" t="s">
        <v>33</v>
      </c>
    </row>
    <row r="15" customFormat="false" ht="15" hidden="false" customHeight="false" outlineLevel="0" collapsed="false">
      <c r="A15" s="4" t="s">
        <v>64</v>
      </c>
      <c r="B15" s="4" t="s">
        <v>23</v>
      </c>
      <c r="C15" s="5" t="s">
        <v>65</v>
      </c>
      <c r="D15" s="5" t="s">
        <v>35</v>
      </c>
      <c r="E15" s="5" t="s">
        <v>66</v>
      </c>
      <c r="F15" s="4" t="s">
        <v>31</v>
      </c>
      <c r="G15" s="6" t="n">
        <v>130</v>
      </c>
      <c r="H15" s="7" t="n">
        <v>300000</v>
      </c>
      <c r="I15" s="8" t="s">
        <v>20</v>
      </c>
      <c r="J15" s="7" t="n">
        <f aca="false">IF(I15="Loss",0,IF(OR(H15="",G15=""),"",IF(G15&gt;0,H15*(1+G15/100),H15*(1+100/ABS(G15)))))</f>
        <v>0</v>
      </c>
      <c r="K15" s="7" t="n">
        <f aca="false">IF(H15="","",IF(I15="Loss",-H15,IF(J15="","",J15-H15)))</f>
        <v>-300000</v>
      </c>
      <c r="L15" s="5" t="s">
        <v>67</v>
      </c>
    </row>
    <row r="16" customFormat="false" ht="15" hidden="false" customHeight="false" outlineLevel="0" collapsed="false">
      <c r="A16" s="4" t="s">
        <v>68</v>
      </c>
      <c r="B16" s="4" t="s">
        <v>69</v>
      </c>
      <c r="C16" s="5" t="s">
        <v>70</v>
      </c>
      <c r="D16" s="5" t="s">
        <v>71</v>
      </c>
      <c r="E16" s="5" t="s">
        <v>72</v>
      </c>
      <c r="F16" s="4" t="s">
        <v>31</v>
      </c>
      <c r="G16" s="6" t="n">
        <v>650</v>
      </c>
      <c r="H16" s="7" t="n">
        <v>25000</v>
      </c>
      <c r="I16" s="8" t="s">
        <v>32</v>
      </c>
      <c r="J16" s="7" t="n">
        <f aca="false">IF(I16="Loss",0,IF(OR(H16="",G16=""),"",IF(G16&gt;0,H16*(1+G16/100),H16*(1+100/ABS(G16)))))</f>
        <v>187500</v>
      </c>
      <c r="K16" s="7" t="n">
        <f aca="false">IF(H16="","",IF(I16="Loss",-H16,IF(J16="","",J16-H16)))</f>
        <v>162500</v>
      </c>
      <c r="L16" s="5" t="s">
        <v>33</v>
      </c>
    </row>
    <row r="17" customFormat="false" ht="23.85" hidden="false" customHeight="false" outlineLevel="0" collapsed="false">
      <c r="A17" s="4" t="s">
        <v>73</v>
      </c>
      <c r="B17" s="4" t="s">
        <v>23</v>
      </c>
      <c r="C17" s="5" t="s">
        <v>74</v>
      </c>
      <c r="D17" s="5" t="s">
        <v>75</v>
      </c>
      <c r="E17" s="5" t="s">
        <v>76</v>
      </c>
      <c r="F17" s="4" t="s">
        <v>31</v>
      </c>
      <c r="G17" s="6" t="n">
        <v>1500</v>
      </c>
      <c r="H17" s="7"/>
      <c r="I17" s="8" t="s">
        <v>20</v>
      </c>
      <c r="J17" s="7" t="n">
        <f aca="false">IF(I17="Loss",0,IF(OR(H17="",G17=""),"",IF(G17&gt;0,H17*(1+G17/100),H17*(1+100/ABS(G17)))))</f>
        <v>0</v>
      </c>
      <c r="K17" s="7" t="str">
        <f aca="false">IF(H17="","",IF(I17="Loss",-H17,IF(J17="","",J17-H17)))</f>
        <v/>
      </c>
      <c r="L17" s="5" t="s">
        <v>33</v>
      </c>
    </row>
    <row r="18" customFormat="false" ht="23.85" hidden="false" customHeight="false" outlineLevel="0" collapsed="false">
      <c r="A18" s="4" t="s">
        <v>77</v>
      </c>
      <c r="B18" s="4" t="s">
        <v>78</v>
      </c>
      <c r="C18" s="5" t="s">
        <v>79</v>
      </c>
      <c r="D18" s="5" t="s">
        <v>80</v>
      </c>
      <c r="E18" s="5" t="s">
        <v>81</v>
      </c>
      <c r="F18" s="4" t="s">
        <v>31</v>
      </c>
      <c r="G18" s="6" t="n">
        <v>1000</v>
      </c>
      <c r="H18" s="7"/>
      <c r="I18" s="8" t="s">
        <v>20</v>
      </c>
      <c r="J18" s="7" t="n">
        <f aca="false">IF(I18="Loss",0,IF(OR(H18="",G18=""),"",IF(G18&gt;0,H18*(1+G18/100),H18*(1+100/ABS(G18)))))</f>
        <v>0</v>
      </c>
      <c r="K18" s="7" t="str">
        <f aca="false">IF(H18="","",IF(I18="Loss",-H18,IF(J18="","",J18-H18)))</f>
        <v/>
      </c>
      <c r="L18" s="5" t="s">
        <v>33</v>
      </c>
    </row>
    <row r="19" customFormat="false" ht="15" hidden="false" customHeight="false" outlineLevel="0" collapsed="false">
      <c r="A19" s="4" t="s">
        <v>82</v>
      </c>
      <c r="B19" s="4" t="s">
        <v>23</v>
      </c>
      <c r="C19" s="5" t="s">
        <v>83</v>
      </c>
      <c r="D19" s="5" t="s">
        <v>25</v>
      </c>
      <c r="E19" s="5" t="s">
        <v>84</v>
      </c>
      <c r="F19" s="4" t="s">
        <v>31</v>
      </c>
      <c r="G19" s="6" t="n">
        <v>677</v>
      </c>
      <c r="H19" s="7"/>
      <c r="I19" s="8" t="s">
        <v>20</v>
      </c>
      <c r="J19" s="7" t="n">
        <f aca="false">IF(I19="Loss",0,IF(OR(H19="",G19=""),"",IF(G19&gt;0,H19*(1+G19/100),H19*(1+100/ABS(G19)))))</f>
        <v>0</v>
      </c>
      <c r="K19" s="7" t="str">
        <f aca="false">IF(H19="","",IF(I19="Loss",-H19,IF(J19="","",J19-H19)))</f>
        <v/>
      </c>
      <c r="L19" s="5" t="s">
        <v>33</v>
      </c>
    </row>
    <row r="20" customFormat="false" ht="15" hidden="false" customHeight="false" outlineLevel="0" collapsed="false">
      <c r="A20" s="4" t="s">
        <v>85</v>
      </c>
      <c r="B20" s="4" t="s">
        <v>86</v>
      </c>
      <c r="C20" s="5" t="s">
        <v>87</v>
      </c>
      <c r="D20" s="5" t="s">
        <v>88</v>
      </c>
      <c r="E20" s="5" t="s">
        <v>18</v>
      </c>
      <c r="F20" s="4" t="s">
        <v>31</v>
      </c>
      <c r="G20" s="6" t="n">
        <v>-200</v>
      </c>
      <c r="H20" s="7"/>
      <c r="I20" s="8" t="s">
        <v>32</v>
      </c>
      <c r="J20" s="7" t="str">
        <f aca="false">IF(I20="Loss",0,IF(OR(H20="",G20=""),"",IF(G20&gt;0,H20*(1+G20/100),H20*(1+100/ABS(G20)))))</f>
        <v/>
      </c>
      <c r="K20" s="7" t="str">
        <f aca="false">IF(H20="","",IF(I20="Loss",-H20,IF(J20="","",J20-H20)))</f>
        <v/>
      </c>
      <c r="L20" s="5" t="s">
        <v>33</v>
      </c>
    </row>
    <row r="21" customFormat="false" ht="15" hidden="false" customHeight="false" outlineLevel="0" collapsed="false">
      <c r="A21" s="4" t="s">
        <v>89</v>
      </c>
      <c r="B21" s="4" t="s">
        <v>23</v>
      </c>
      <c r="C21" s="5" t="s">
        <v>90</v>
      </c>
      <c r="D21" s="5" t="s">
        <v>25</v>
      </c>
      <c r="E21" s="5" t="s">
        <v>84</v>
      </c>
      <c r="F21" s="4" t="s">
        <v>31</v>
      </c>
      <c r="G21" s="6" t="n">
        <v>412</v>
      </c>
      <c r="H21" s="7"/>
      <c r="I21" s="8" t="s">
        <v>32</v>
      </c>
      <c r="J21" s="7" t="str">
        <f aca="false">IF(I21="Loss",0,IF(OR(H21="",G21=""),"",IF(G21&gt;0,H21*(1+G21/100),H21*(1+100/ABS(G21)))))</f>
        <v/>
      </c>
      <c r="K21" s="7" t="str">
        <f aca="false">IF(H21="","",IF(I21="Loss",-H21,IF(J21="","",J21-H21)))</f>
        <v/>
      </c>
      <c r="L21" s="5" t="s">
        <v>33</v>
      </c>
    </row>
    <row r="22" customFormat="false" ht="15" hidden="false" customHeight="false" outlineLevel="0" collapsed="false">
      <c r="A22" s="4" t="s">
        <v>91</v>
      </c>
      <c r="B22" s="4" t="s">
        <v>23</v>
      </c>
      <c r="C22" s="5" t="s">
        <v>92</v>
      </c>
      <c r="D22" s="5" t="s">
        <v>25</v>
      </c>
      <c r="E22" s="5" t="s">
        <v>84</v>
      </c>
      <c r="F22" s="4" t="s">
        <v>31</v>
      </c>
      <c r="G22" s="6" t="n">
        <v>411</v>
      </c>
      <c r="H22" s="7"/>
      <c r="I22" s="8" t="s">
        <v>20</v>
      </c>
      <c r="J22" s="7" t="n">
        <f aca="false">IF(I22="Loss",0,IF(OR(H22="",G22=""),"",IF(G22&gt;0,H22*(1+G22/100),H22*(1+100/ABS(G22)))))</f>
        <v>0</v>
      </c>
      <c r="K22" s="7" t="str">
        <f aca="false">IF(H22="","",IF(I22="Loss",-H22,IF(J22="","",J22-H22)))</f>
        <v/>
      </c>
      <c r="L22" s="5" t="s">
        <v>33</v>
      </c>
    </row>
    <row r="23" customFormat="false" ht="23.85" hidden="false" customHeight="false" outlineLevel="0" collapsed="false">
      <c r="A23" s="4" t="s">
        <v>93</v>
      </c>
      <c r="B23" s="4" t="s">
        <v>23</v>
      </c>
      <c r="C23" s="5" t="s">
        <v>94</v>
      </c>
      <c r="D23" s="5" t="s">
        <v>25</v>
      </c>
      <c r="E23" s="5" t="s">
        <v>95</v>
      </c>
      <c r="F23" s="4" t="s">
        <v>31</v>
      </c>
      <c r="G23" s="6" t="n">
        <v>3529</v>
      </c>
      <c r="H23" s="7" t="n">
        <v>10000</v>
      </c>
      <c r="I23" s="8" t="s">
        <v>20</v>
      </c>
      <c r="J23" s="7" t="n">
        <f aca="false">IF(I23="Loss",0,IF(OR(H23="",G23=""),"",IF(G23&gt;0,H23*(1+G23/100),H23*(1+100/ABS(G23)))))</f>
        <v>0</v>
      </c>
      <c r="K23" s="7" t="n">
        <f aca="false">IF(H23="","",IF(I23="Loss",-H23,IF(J23="","",J23-H23)))</f>
        <v>-10000</v>
      </c>
      <c r="L23" s="5" t="s">
        <v>96</v>
      </c>
    </row>
    <row r="24" customFormat="false" ht="23.85" hidden="false" customHeight="false" outlineLevel="0" collapsed="false">
      <c r="A24" s="4" t="s">
        <v>97</v>
      </c>
      <c r="B24" s="4" t="s">
        <v>23</v>
      </c>
      <c r="C24" s="5" t="s">
        <v>98</v>
      </c>
      <c r="D24" s="5" t="s">
        <v>99</v>
      </c>
      <c r="E24" s="5" t="s">
        <v>100</v>
      </c>
      <c r="F24" s="4" t="s">
        <v>31</v>
      </c>
      <c r="G24" s="6" t="n">
        <v>450</v>
      </c>
      <c r="H24" s="7" t="n">
        <v>11000</v>
      </c>
      <c r="I24" s="8" t="s">
        <v>20</v>
      </c>
      <c r="J24" s="7" t="n">
        <f aca="false">IF(I24="Loss",0,IF(OR(H24="",G24=""),"",IF(G24&gt;0,H24*(1+G24/100),H24*(1+100/ABS(G24)))))</f>
        <v>0</v>
      </c>
      <c r="K24" s="7" t="n">
        <f aca="false">IF(H24="","",IF(I24="Loss",-H24,IF(J24="","",J24-H24)))</f>
        <v>-11000</v>
      </c>
      <c r="L24" s="5" t="s">
        <v>33</v>
      </c>
    </row>
    <row r="25" customFormat="false" ht="15" hidden="false" customHeight="false" outlineLevel="0" collapsed="false">
      <c r="A25" s="4" t="s">
        <v>101</v>
      </c>
      <c r="B25" s="4" t="s">
        <v>23</v>
      </c>
      <c r="C25" s="5" t="s">
        <v>102</v>
      </c>
      <c r="D25" s="5" t="s">
        <v>45</v>
      </c>
      <c r="E25" s="5" t="s">
        <v>103</v>
      </c>
      <c r="F25" s="4" t="s">
        <v>31</v>
      </c>
      <c r="G25" s="6" t="n">
        <v>550</v>
      </c>
      <c r="H25" s="7" t="n">
        <v>1000000</v>
      </c>
      <c r="I25" s="8" t="s">
        <v>20</v>
      </c>
      <c r="J25" s="7" t="n">
        <f aca="false">IF(I25="Loss",0,IF(OR(H25="",G25=""),"",IF(G25&gt;0,H25*(1+G25/100),H25*(1+100/ABS(G25)))))</f>
        <v>0</v>
      </c>
      <c r="K25" s="7" t="n">
        <f aca="false">IF(H25="","",IF(I25="Loss",-H25,IF(J25="","",J25-H25)))</f>
        <v>-1000000</v>
      </c>
      <c r="L25" s="5" t="s">
        <v>104</v>
      </c>
    </row>
    <row r="26" customFormat="false" ht="23.85" hidden="false" customHeight="false" outlineLevel="0" collapsed="false">
      <c r="A26" s="4" t="s">
        <v>105</v>
      </c>
      <c r="B26" s="4" t="s">
        <v>43</v>
      </c>
      <c r="C26" s="5" t="s">
        <v>106</v>
      </c>
      <c r="D26" s="5" t="s">
        <v>107</v>
      </c>
      <c r="E26" s="5" t="s">
        <v>108</v>
      </c>
      <c r="F26" s="4" t="s">
        <v>31</v>
      </c>
      <c r="G26" s="6" t="n">
        <v>575</v>
      </c>
      <c r="H26" s="7"/>
      <c r="I26" s="8" t="s">
        <v>32</v>
      </c>
      <c r="J26" s="7" t="str">
        <f aca="false">IF(I26="Loss",0,IF(OR(H26="",G26=""),"",IF(G26&gt;0,H26*(1+G26/100),H26*(1+100/ABS(G26)))))</f>
        <v/>
      </c>
      <c r="K26" s="7" t="str">
        <f aca="false">IF(H26="","",IF(I26="Loss",-H26,IF(J26="","",J26-H26)))</f>
        <v/>
      </c>
      <c r="L26" s="5" t="s">
        <v>33</v>
      </c>
    </row>
    <row r="27" customFormat="false" ht="23.85" hidden="false" customHeight="false" outlineLevel="0" collapsed="false">
      <c r="A27" s="4" t="s">
        <v>105</v>
      </c>
      <c r="B27" s="4" t="s">
        <v>43</v>
      </c>
      <c r="C27" s="5" t="s">
        <v>109</v>
      </c>
      <c r="D27" s="5" t="s">
        <v>45</v>
      </c>
      <c r="E27" s="5" t="s">
        <v>110</v>
      </c>
      <c r="F27" s="4" t="s">
        <v>31</v>
      </c>
      <c r="G27" s="6" t="n">
        <v>2285</v>
      </c>
      <c r="H27" s="7"/>
      <c r="I27" s="8" t="s">
        <v>20</v>
      </c>
      <c r="J27" s="7" t="n">
        <f aca="false">IF(I27="Loss",0,IF(OR(H27="",G27=""),"",IF(G27&gt;0,H27*(1+G27/100),H27*(1+100/ABS(G27)))))</f>
        <v>0</v>
      </c>
      <c r="K27" s="7" t="str">
        <f aca="false">IF(H27="","",IF(I27="Loss",-H27,IF(J27="","",J27-H27)))</f>
        <v/>
      </c>
      <c r="L27" s="5" t="s">
        <v>33</v>
      </c>
    </row>
    <row r="28" customFormat="false" ht="23.85" hidden="false" customHeight="false" outlineLevel="0" collapsed="false">
      <c r="A28" s="4" t="s">
        <v>111</v>
      </c>
      <c r="B28" s="4" t="s">
        <v>78</v>
      </c>
      <c r="C28" s="5" t="s">
        <v>112</v>
      </c>
      <c r="D28" s="5" t="s">
        <v>80</v>
      </c>
      <c r="E28" s="5" t="s">
        <v>113</v>
      </c>
      <c r="F28" s="4" t="s">
        <v>31</v>
      </c>
      <c r="G28" s="6" t="n">
        <v>750</v>
      </c>
      <c r="H28" s="7"/>
      <c r="I28" s="8" t="s">
        <v>20</v>
      </c>
      <c r="J28" s="7" t="n">
        <f aca="false">IF(I28="Loss",0,IF(OR(H28="",G28=""),"",IF(G28&gt;0,H28*(1+G28/100),H28*(1+100/ABS(G28)))))</f>
        <v>0</v>
      </c>
      <c r="K28" s="7" t="str">
        <f aca="false">IF(H28="","",IF(I28="Loss",-H28,IF(J28="","",J28-H28)))</f>
        <v/>
      </c>
      <c r="L28" s="5" t="s">
        <v>33</v>
      </c>
    </row>
    <row r="29" customFormat="false" ht="15" hidden="false" customHeight="false" outlineLevel="0" collapsed="false">
      <c r="A29" s="4" t="s">
        <v>114</v>
      </c>
      <c r="B29" s="4" t="s">
        <v>61</v>
      </c>
      <c r="C29" s="5" t="s">
        <v>115</v>
      </c>
      <c r="D29" s="5" t="s">
        <v>116</v>
      </c>
      <c r="E29" s="5" t="s">
        <v>117</v>
      </c>
      <c r="F29" s="4" t="s">
        <v>31</v>
      </c>
      <c r="G29" s="6" t="n">
        <v>1300</v>
      </c>
      <c r="H29" s="7" t="n">
        <v>25000</v>
      </c>
      <c r="I29" s="8" t="s">
        <v>32</v>
      </c>
      <c r="J29" s="7" t="n">
        <f aca="false">IF(I29="Loss",0,IF(OR(H29="",G29=""),"",IF(G29&gt;0,H29*(1+G29/100),H29*(1+100/ABS(G29)))))</f>
        <v>350000</v>
      </c>
      <c r="K29" s="7" t="n">
        <f aca="false">IF(H29="","",IF(I29="Loss",-H29,IF(J29="","",J29-H29)))</f>
        <v>325000</v>
      </c>
      <c r="L29" s="5" t="s">
        <v>33</v>
      </c>
    </row>
    <row r="30" customFormat="false" ht="15" hidden="false" customHeight="false" outlineLevel="0" collapsed="false">
      <c r="A30" s="4" t="s">
        <v>118</v>
      </c>
      <c r="B30" s="4" t="s">
        <v>61</v>
      </c>
      <c r="C30" s="5" t="s">
        <v>119</v>
      </c>
      <c r="D30" s="5" t="s">
        <v>120</v>
      </c>
      <c r="E30" s="5" t="s">
        <v>121</v>
      </c>
      <c r="F30" s="4" t="s">
        <v>31</v>
      </c>
      <c r="G30" s="6" t="n">
        <v>700</v>
      </c>
      <c r="H30" s="7"/>
      <c r="I30" s="8" t="s">
        <v>20</v>
      </c>
      <c r="J30" s="7" t="n">
        <f aca="false">IF(I30="Loss",0,IF(OR(H30="",G30=""),"",IF(G30&gt;0,H30*(1+G30/100),H30*(1+100/ABS(G30)))))</f>
        <v>0</v>
      </c>
      <c r="K30" s="7" t="str">
        <f aca="false">IF(H30="","",IF(I30="Loss",-H30,IF(J30="","",J30-H30)))</f>
        <v/>
      </c>
      <c r="L30" s="5" t="s">
        <v>33</v>
      </c>
    </row>
    <row r="31" customFormat="false" ht="15" hidden="false" customHeight="false" outlineLevel="0" collapsed="false">
      <c r="A31" s="4" t="s">
        <v>122</v>
      </c>
      <c r="B31" s="4" t="s">
        <v>53</v>
      </c>
      <c r="C31" s="5" t="s">
        <v>54</v>
      </c>
      <c r="D31" s="5" t="s">
        <v>123</v>
      </c>
      <c r="E31" s="5" t="s">
        <v>124</v>
      </c>
      <c r="F31" s="4" t="s">
        <v>31</v>
      </c>
      <c r="G31" s="6" t="n">
        <v>550</v>
      </c>
      <c r="H31" s="7" t="n">
        <v>50000</v>
      </c>
      <c r="I31" s="8" t="s">
        <v>20</v>
      </c>
      <c r="J31" s="7" t="n">
        <f aca="false">IF(I31="Loss",0,IF(OR(H31="",G31=""),"",IF(G31&gt;0,H31*(1+G31/100),H31*(1+100/ABS(G31)))))</f>
        <v>0</v>
      </c>
      <c r="K31" s="7" t="n">
        <f aca="false">IF(H31="","",IF(I31="Loss",-H31,IF(J31="","",J31-H31)))</f>
        <v>-50000</v>
      </c>
      <c r="L31" s="5" t="s">
        <v>33</v>
      </c>
    </row>
    <row r="32" customFormat="false" ht="15" hidden="false" customHeight="false" outlineLevel="0" collapsed="false">
      <c r="A32" s="4" t="s">
        <v>125</v>
      </c>
      <c r="B32" s="4" t="s">
        <v>23</v>
      </c>
      <c r="C32" s="5" t="s">
        <v>126</v>
      </c>
      <c r="D32" s="5" t="s">
        <v>45</v>
      </c>
      <c r="E32" s="5" t="s">
        <v>127</v>
      </c>
      <c r="F32" s="4" t="s">
        <v>31</v>
      </c>
      <c r="G32" s="6" t="n">
        <v>3500</v>
      </c>
      <c r="H32" s="7" t="n">
        <v>50000</v>
      </c>
      <c r="I32" s="8" t="s">
        <v>20</v>
      </c>
      <c r="J32" s="7" t="n">
        <f aca="false">IF(I32="Loss",0,IF(OR(H32="",G32=""),"",IF(G32&gt;0,H32*(1+G32/100),H32*(1+100/ABS(G32)))))</f>
        <v>0</v>
      </c>
      <c r="K32" s="7" t="n">
        <f aca="false">IF(H32="","",IF(I32="Loss",-H32,IF(J32="","",J32-H32)))</f>
        <v>-50000</v>
      </c>
      <c r="L32" s="5" t="s">
        <v>128</v>
      </c>
    </row>
    <row r="33" customFormat="false" ht="23.85" hidden="false" customHeight="false" outlineLevel="0" collapsed="false">
      <c r="A33" s="4" t="s">
        <v>129</v>
      </c>
      <c r="B33" s="4" t="s">
        <v>15</v>
      </c>
      <c r="C33" s="5" t="s">
        <v>28</v>
      </c>
      <c r="D33" s="5" t="s">
        <v>130</v>
      </c>
      <c r="E33" s="5" t="s">
        <v>131</v>
      </c>
      <c r="F33" s="4" t="s">
        <v>132</v>
      </c>
      <c r="G33" s="6" t="n">
        <v>100</v>
      </c>
      <c r="H33" s="7" t="n">
        <v>1000</v>
      </c>
      <c r="I33" s="8" t="s">
        <v>20</v>
      </c>
      <c r="J33" s="7" t="n">
        <f aca="false">IF(I33="Loss",0,IF(OR(H33="",G33=""),"",IF(G33&gt;0,H33*(1+G33/100),H33*(1+100/ABS(G33)))))</f>
        <v>0</v>
      </c>
      <c r="K33" s="7" t="n">
        <f aca="false">IF(H33="","",IF(I33="Loss",-H33,IF(J33="","",J33-H33)))</f>
        <v>-1000</v>
      </c>
      <c r="L33" s="5" t="s">
        <v>133</v>
      </c>
    </row>
    <row r="34" customFormat="false" ht="15" hidden="false" customHeight="false" outlineLevel="0" collapsed="false">
      <c r="A34" s="4" t="s">
        <v>134</v>
      </c>
      <c r="B34" s="4" t="s">
        <v>53</v>
      </c>
      <c r="C34" s="5" t="s">
        <v>135</v>
      </c>
      <c r="D34" s="5" t="s">
        <v>45</v>
      </c>
      <c r="E34" s="5" t="s">
        <v>55</v>
      </c>
      <c r="F34" s="4" t="s">
        <v>31</v>
      </c>
      <c r="G34" s="6" t="n">
        <v>650</v>
      </c>
      <c r="H34" s="7" t="n">
        <v>100000</v>
      </c>
      <c r="I34" s="8" t="s">
        <v>20</v>
      </c>
      <c r="J34" s="7" t="n">
        <f aca="false">IF(I34="Loss",0,IF(OR(H34="",G34=""),"",IF(G34&gt;0,H34*(1+G34/100),H34*(1+100/ABS(G34)))))</f>
        <v>0</v>
      </c>
      <c r="K34" s="7" t="n">
        <f aca="false">IF(H34="","",IF(I34="Loss",-H34,IF(J34="","",J34-H34)))</f>
        <v>-100000</v>
      </c>
      <c r="L34" s="5" t="s">
        <v>136</v>
      </c>
    </row>
    <row r="36" customFormat="false" ht="15" hidden="false" customHeight="false" outlineLevel="0" collapsed="false">
      <c r="A36" s="10" t="s">
        <v>137</v>
      </c>
    </row>
    <row r="37" customFormat="false" ht="15" hidden="false" customHeight="false" outlineLevel="0" collapsed="false">
      <c r="A37" s="11" t="s">
        <v>138</v>
      </c>
    </row>
    <row r="38" customFormat="false" ht="15" hidden="false" customHeight="false" outlineLevel="0" collapsed="false">
      <c r="A38" s="11" t="s">
        <v>139</v>
      </c>
    </row>
    <row r="39" customFormat="false" ht="15" hidden="false" customHeight="false" outlineLevel="0" collapsed="false">
      <c r="A39" s="11" t="s">
        <v>140</v>
      </c>
    </row>
    <row r="40" customFormat="false" ht="15" hidden="false" customHeight="false" outlineLevel="0" collapsed="false">
      <c r="A40" s="11" t="s">
        <v>141</v>
      </c>
    </row>
    <row r="41" customFormat="false" ht="15" hidden="false" customHeight="false" outlineLevel="0" collapsed="false">
      <c r="A41" s="11" t="s">
        <v>142</v>
      </c>
    </row>
    <row r="42" customFormat="false" ht="15" hidden="false" customHeight="false" outlineLevel="0" collapsed="false">
      <c r="A42" s="11" t="s">
        <v>143</v>
      </c>
    </row>
    <row r="43" customFormat="false" ht="15" hidden="false" customHeight="false" outlineLevel="0" collapsed="false">
      <c r="A43" s="11" t="s">
        <v>144</v>
      </c>
    </row>
  </sheetData>
  <autoFilter ref="A4:L34"/>
  <conditionalFormatting sqref="I5:I34">
    <cfRule type="cellIs" priority="2" operator="equal" aboveAverage="0" equalAverage="0" bottom="0" percent="0" rank="0" text="" dxfId="6">
      <formula>"Win"</formula>
    </cfRule>
    <cfRule type="cellIs" priority="3" operator="equal" aboveAverage="0" equalAverage="0" bottom="0" percent="0" rank="0" text="" dxfId="7">
      <formula>"Loss"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145</v>
      </c>
    </row>
    <row r="3" customFormat="false" ht="15" hidden="false" customHeight="false" outlineLevel="0" collapsed="false">
      <c r="A3" s="12" t="s">
        <v>146</v>
      </c>
      <c r="B3" s="13" t="n">
        <f aca="false">COUNTA(Bets!I5:I34)</f>
        <v>30</v>
      </c>
    </row>
    <row r="4" customFormat="false" ht="15" hidden="false" customHeight="false" outlineLevel="0" collapsed="false">
      <c r="A4" s="12" t="s">
        <v>147</v>
      </c>
      <c r="B4" s="13" t="n">
        <f aca="false">COUNTIF(Bets!I5:I34,"Win")</f>
        <v>9</v>
      </c>
    </row>
    <row r="5" customFormat="false" ht="15" hidden="false" customHeight="false" outlineLevel="0" collapsed="false">
      <c r="A5" s="12" t="s">
        <v>148</v>
      </c>
      <c r="B5" s="13" t="n">
        <f aca="false">COUNTIF(Bets!I5:I34,"Loss")</f>
        <v>21</v>
      </c>
    </row>
    <row r="6" customFormat="false" ht="15" hidden="false" customHeight="false" outlineLevel="0" collapsed="false">
      <c r="A6" s="12" t="s">
        <v>149</v>
      </c>
      <c r="B6" s="14" t="n">
        <f aca="false">IF(B3=0,0,B4/B3)</f>
        <v>0.3</v>
      </c>
    </row>
    <row r="7" customFormat="false" ht="15" hidden="false" customHeight="false" outlineLevel="0" collapsed="false">
      <c r="A7" s="12" t="s">
        <v>150</v>
      </c>
      <c r="B7" s="13" t="n">
        <f aca="false">COUNT(Bets!H5:H34)</f>
        <v>20</v>
      </c>
    </row>
    <row r="8" customFormat="false" ht="15" hidden="false" customHeight="false" outlineLevel="0" collapsed="false">
      <c r="A8" s="12" t="s">
        <v>151</v>
      </c>
      <c r="B8" s="15" t="n">
        <f aca="false">SUM(Bets!H5:H34)</f>
        <v>5052000</v>
      </c>
    </row>
    <row r="9" customFormat="false" ht="15" hidden="false" customHeight="false" outlineLevel="0" collapsed="false">
      <c r="A9" s="12" t="s">
        <v>152</v>
      </c>
      <c r="B9" s="15" t="n">
        <f aca="false">SUM(Bets!J5:J34)</f>
        <v>7794957.62711864</v>
      </c>
    </row>
    <row r="10" customFormat="false" ht="15" hidden="false" customHeight="false" outlineLevel="0" collapsed="false">
      <c r="A10" s="12" t="s">
        <v>153</v>
      </c>
      <c r="B10" s="15" t="n">
        <f aca="false">SUM(Bets!K5:K34)</f>
        <v>2742957.62711864</v>
      </c>
    </row>
    <row r="11" customFormat="false" ht="15" hidden="false" customHeight="false" outlineLevel="0" collapsed="false">
      <c r="A11" s="12" t="s">
        <v>154</v>
      </c>
      <c r="B11" s="14" t="n">
        <f aca="false">IF(B8=0,0,B10/B8)</f>
        <v>0.542944898479542</v>
      </c>
    </row>
    <row r="12" customFormat="false" ht="15" hidden="false" customHeight="false" outlineLevel="0" collapsed="false">
      <c r="A12" s="12" t="s">
        <v>155</v>
      </c>
      <c r="B12" s="15" t="n">
        <f aca="false">MAX(Bets!K5:K34)</f>
        <v>2160000</v>
      </c>
    </row>
    <row r="13" customFormat="false" ht="15" hidden="false" customHeight="false" outlineLevel="0" collapsed="false">
      <c r="A13" s="12" t="s">
        <v>156</v>
      </c>
      <c r="B13" s="15" t="n">
        <f aca="false">MIN(Bets!K5:K34)</f>
        <v>-1000000</v>
      </c>
    </row>
    <row r="14" customFormat="false" ht="15" hidden="false" customHeight="false" outlineLevel="0" collapsed="false">
      <c r="A14" s="12" t="s">
        <v>157</v>
      </c>
      <c r="B14" s="15" t="n">
        <f aca="false">MAX(Bets!H5:H34)</f>
        <v>1000000</v>
      </c>
    </row>
    <row r="17" customFormat="false" ht="15" hidden="false" customHeight="false" outlineLevel="0" collapsed="false">
      <c r="A17" s="16" t="s">
        <v>158</v>
      </c>
    </row>
    <row r="18" customFormat="false" ht="15" hidden="false" customHeight="false" outlineLevel="0" collapsed="false">
      <c r="A18" s="17" t="s">
        <v>3</v>
      </c>
      <c r="B18" s="17" t="s">
        <v>159</v>
      </c>
      <c r="C18" s="17" t="s">
        <v>147</v>
      </c>
      <c r="D18" s="17" t="s">
        <v>148</v>
      </c>
      <c r="E18" s="17" t="s">
        <v>160</v>
      </c>
      <c r="F18" s="17" t="s">
        <v>161</v>
      </c>
    </row>
    <row r="19" customFormat="false" ht="15" hidden="false" customHeight="false" outlineLevel="0" collapsed="false">
      <c r="A19" s="18" t="s">
        <v>86</v>
      </c>
      <c r="B19" s="18" t="n">
        <f aca="false">COUNTIF(Bets!$B$5:$B$34,A19)</f>
        <v>1</v>
      </c>
      <c r="C19" s="18" t="n">
        <f aca="false">COUNTIFS(Bets!$B$5:$B$34,A19,Bets!$I$5:$I$34,"Win")</f>
        <v>1</v>
      </c>
      <c r="D19" s="18" t="n">
        <f aca="false">COUNTIFS(Bets!$B$5:$B$34,A19,Bets!$I$5:$I$34,"Loss")</f>
        <v>0</v>
      </c>
      <c r="E19" s="19" t="n">
        <f aca="false">SUMIF(Bets!$B$5:$B$34,A19,Bets!$H$5:$H$34)</f>
        <v>0</v>
      </c>
      <c r="F19" s="19" t="n">
        <f aca="false">SUMIF(Bets!$B$5:$B$34,A19,Bets!$K$5:$K$34)</f>
        <v>0</v>
      </c>
    </row>
    <row r="20" customFormat="false" ht="15" hidden="false" customHeight="false" outlineLevel="0" collapsed="false">
      <c r="A20" s="18" t="s">
        <v>15</v>
      </c>
      <c r="B20" s="18" t="n">
        <f aca="false">COUNTIF(Bets!$B$5:$B$34,A20)</f>
        <v>3</v>
      </c>
      <c r="C20" s="18" t="n">
        <f aca="false">COUNTIFS(Bets!$B$5:$B$34,A20,Bets!$I$5:$I$34,"Win")</f>
        <v>1</v>
      </c>
      <c r="D20" s="18" t="n">
        <f aca="false">COUNTIFS(Bets!$B$5:$B$34,A20,Bets!$I$5:$I$34,"Loss")</f>
        <v>2</v>
      </c>
      <c r="E20" s="19" t="n">
        <f aca="false">SUMIF(Bets!$B$5:$B$34,A20,Bets!$H$5:$H$34)</f>
        <v>1501000</v>
      </c>
      <c r="F20" s="19" t="n">
        <f aca="false">SUMIF(Bets!$B$5:$B$34,A20,Bets!$K$5:$K$34)</f>
        <v>346457.627118644</v>
      </c>
    </row>
    <row r="21" customFormat="false" ht="15" hidden="false" customHeight="false" outlineLevel="0" collapsed="false">
      <c r="A21" s="18" t="s">
        <v>49</v>
      </c>
      <c r="B21" s="18" t="n">
        <f aca="false">COUNTIF(Bets!$B$5:$B$34,A21)</f>
        <v>1</v>
      </c>
      <c r="C21" s="18" t="n">
        <f aca="false">COUNTIFS(Bets!$B$5:$B$34,A21,Bets!$I$5:$I$34,"Win")</f>
        <v>1</v>
      </c>
      <c r="D21" s="18" t="n">
        <f aca="false">COUNTIFS(Bets!$B$5:$B$34,A21,Bets!$I$5:$I$34,"Loss")</f>
        <v>0</v>
      </c>
      <c r="E21" s="19" t="n">
        <f aca="false">SUMIF(Bets!$B$5:$B$34,A21,Bets!$H$5:$H$34)</f>
        <v>300000</v>
      </c>
      <c r="F21" s="19" t="n">
        <f aca="false">SUMIF(Bets!$B$5:$B$34,A21,Bets!$K$5:$K$34)</f>
        <v>1350000</v>
      </c>
    </row>
    <row r="22" customFormat="false" ht="15" hidden="false" customHeight="false" outlineLevel="0" collapsed="false">
      <c r="A22" s="18" t="s">
        <v>57</v>
      </c>
      <c r="B22" s="18" t="n">
        <f aca="false">COUNTIF(Bets!$B$5:$B$34,A22)</f>
        <v>1</v>
      </c>
      <c r="C22" s="18" t="n">
        <f aca="false">COUNTIFS(Bets!$B$5:$B$34,A22,Bets!$I$5:$I$34,"Win")</f>
        <v>0</v>
      </c>
      <c r="D22" s="18" t="n">
        <f aca="false">COUNTIFS(Bets!$B$5:$B$34,A22,Bets!$I$5:$I$34,"Loss")</f>
        <v>1</v>
      </c>
      <c r="E22" s="19" t="n">
        <f aca="false">SUMIF(Bets!$B$5:$B$34,A22,Bets!$H$5:$H$34)</f>
        <v>200000</v>
      </c>
      <c r="F22" s="19" t="n">
        <f aca="false">SUMIF(Bets!$B$5:$B$34,A22,Bets!$K$5:$K$34)</f>
        <v>-200000</v>
      </c>
    </row>
    <row r="23" customFormat="false" ht="15" hidden="false" customHeight="false" outlineLevel="0" collapsed="false">
      <c r="A23" s="18" t="s">
        <v>78</v>
      </c>
      <c r="B23" s="18" t="n">
        <f aca="false">COUNTIF(Bets!$B$5:$B$34,A23)</f>
        <v>2</v>
      </c>
      <c r="C23" s="18" t="n">
        <f aca="false">COUNTIFS(Bets!$B$5:$B$34,A23,Bets!$I$5:$I$34,"Win")</f>
        <v>0</v>
      </c>
      <c r="D23" s="18" t="n">
        <f aca="false">COUNTIFS(Bets!$B$5:$B$34,A23,Bets!$I$5:$I$34,"Loss")</f>
        <v>2</v>
      </c>
      <c r="E23" s="19" t="n">
        <f aca="false">SUMIF(Bets!$B$5:$B$34,A23,Bets!$H$5:$H$34)</f>
        <v>0</v>
      </c>
      <c r="F23" s="19" t="n">
        <f aca="false">SUMIF(Bets!$B$5:$B$34,A23,Bets!$K$5:$K$34)</f>
        <v>0</v>
      </c>
    </row>
    <row r="24" customFormat="false" ht="15" hidden="false" customHeight="false" outlineLevel="0" collapsed="false">
      <c r="A24" s="18" t="s">
        <v>43</v>
      </c>
      <c r="B24" s="18" t="n">
        <f aca="false">COUNTIF(Bets!$B$5:$B$34,A24)</f>
        <v>3</v>
      </c>
      <c r="C24" s="18" t="n">
        <f aca="false">COUNTIFS(Bets!$B$5:$B$34,A24,Bets!$I$5:$I$34,"Win")</f>
        <v>2</v>
      </c>
      <c r="D24" s="18" t="n">
        <f aca="false">COUNTIFS(Bets!$B$5:$B$34,A24,Bets!$I$5:$I$34,"Loss")</f>
        <v>1</v>
      </c>
      <c r="E24" s="19" t="n">
        <f aca="false">SUMIF(Bets!$B$5:$B$34,A24,Bets!$H$5:$H$34)</f>
        <v>600000</v>
      </c>
      <c r="F24" s="19" t="n">
        <f aca="false">SUMIF(Bets!$B$5:$B$34,A24,Bets!$K$5:$K$34)</f>
        <v>2160000</v>
      </c>
    </row>
    <row r="25" customFormat="false" ht="15" hidden="false" customHeight="false" outlineLevel="0" collapsed="false">
      <c r="A25" s="18" t="s">
        <v>23</v>
      </c>
      <c r="B25" s="18" t="n">
        <f aca="false">COUNTIF(Bets!$B$5:$B$34,A25)</f>
        <v>12</v>
      </c>
      <c r="C25" s="18" t="n">
        <f aca="false">COUNTIFS(Bets!$B$5:$B$34,A25,Bets!$I$5:$I$34,"Win")</f>
        <v>2</v>
      </c>
      <c r="D25" s="18" t="n">
        <f aca="false">COUNTIFS(Bets!$B$5:$B$34,A25,Bets!$I$5:$I$34,"Loss")</f>
        <v>10</v>
      </c>
      <c r="E25" s="19" t="n">
        <f aca="false">SUMIF(Bets!$B$5:$B$34,A25,Bets!$H$5:$H$34)</f>
        <v>2001000</v>
      </c>
      <c r="F25" s="19" t="n">
        <f aca="false">SUMIF(Bets!$B$5:$B$34,A25,Bets!$K$5:$K$34)</f>
        <v>-1001000</v>
      </c>
    </row>
    <row r="26" customFormat="false" ht="15" hidden="false" customHeight="false" outlineLevel="0" collapsed="false">
      <c r="A26" s="18" t="s">
        <v>53</v>
      </c>
      <c r="B26" s="18" t="n">
        <f aca="false">COUNTIF(Bets!$B$5:$B$34,A26)</f>
        <v>3</v>
      </c>
      <c r="C26" s="18" t="n">
        <f aca="false">COUNTIFS(Bets!$B$5:$B$34,A26,Bets!$I$5:$I$34,"Win")</f>
        <v>0</v>
      </c>
      <c r="D26" s="18" t="n">
        <f aca="false">COUNTIFS(Bets!$B$5:$B$34,A26,Bets!$I$5:$I$34,"Loss")</f>
        <v>3</v>
      </c>
      <c r="E26" s="19" t="n">
        <f aca="false">SUMIF(Bets!$B$5:$B$34,A26,Bets!$H$5:$H$34)</f>
        <v>300000</v>
      </c>
      <c r="F26" s="19" t="n">
        <f aca="false">SUMIF(Bets!$B$5:$B$34,A26,Bets!$K$5:$K$34)</f>
        <v>-300000</v>
      </c>
    </row>
    <row r="27" customFormat="false" ht="15" hidden="false" customHeight="false" outlineLevel="0" collapsed="false">
      <c r="A27" s="18" t="s">
        <v>61</v>
      </c>
      <c r="B27" s="18" t="n">
        <f aca="false">COUNTIF(Bets!$B$5:$B$34,A27)</f>
        <v>3</v>
      </c>
      <c r="C27" s="18" t="n">
        <f aca="false">COUNTIFS(Bets!$B$5:$B$34,A27,Bets!$I$5:$I$34,"Win")</f>
        <v>1</v>
      </c>
      <c r="D27" s="18" t="n">
        <f aca="false">COUNTIFS(Bets!$B$5:$B$34,A27,Bets!$I$5:$I$34,"Loss")</f>
        <v>2</v>
      </c>
      <c r="E27" s="19" t="n">
        <f aca="false">SUMIF(Bets!$B$5:$B$34,A27,Bets!$H$5:$H$34)</f>
        <v>125000</v>
      </c>
      <c r="F27" s="19" t="n">
        <f aca="false">SUMIF(Bets!$B$5:$B$34,A27,Bets!$K$5:$K$34)</f>
        <v>225000</v>
      </c>
    </row>
    <row r="28" customFormat="false" ht="15" hidden="false" customHeight="false" outlineLevel="0" collapsed="false">
      <c r="A28" s="18" t="s">
        <v>69</v>
      </c>
      <c r="B28" s="18" t="n">
        <f aca="false">COUNTIF(Bets!$B$5:$B$34,A28)</f>
        <v>1</v>
      </c>
      <c r="C28" s="18" t="n">
        <f aca="false">COUNTIFS(Bets!$B$5:$B$34,A28,Bets!$I$5:$I$34,"Win")</f>
        <v>1</v>
      </c>
      <c r="D28" s="18" t="n">
        <f aca="false">COUNTIFS(Bets!$B$5:$B$34,A28,Bets!$I$5:$I$34,"Loss")</f>
        <v>0</v>
      </c>
      <c r="E28" s="19" t="n">
        <f aca="false">SUMIF(Bets!$B$5:$B$34,A28,Bets!$H$5:$H$34)</f>
        <v>25000</v>
      </c>
      <c r="F28" s="19" t="n">
        <f aca="false">SUMIF(Bets!$B$5:$B$34,A28,Bets!$K$5:$K$34)</f>
        <v>162500</v>
      </c>
    </row>
    <row r="29" customFormat="false" ht="15" hidden="false" customHeight="false" outlineLevel="0" collapsed="false">
      <c r="A29" s="12" t="s">
        <v>162</v>
      </c>
      <c r="B29" s="20" t="n">
        <f aca="false">SUM(B19:B28)</f>
        <v>30</v>
      </c>
      <c r="C29" s="20" t="n">
        <f aca="false">SUM(C19:C28)</f>
        <v>9</v>
      </c>
      <c r="D29" s="20" t="n">
        <f aca="false">SUM(D19:D28)</f>
        <v>21</v>
      </c>
      <c r="E29" s="21" t="n">
        <f aca="false">SUM(E19:E28)</f>
        <v>5052000</v>
      </c>
      <c r="F29" s="21" t="n">
        <f aca="false">SUM(F19:F28)</f>
        <v>2742957.62711864</v>
      </c>
    </row>
    <row r="31" customFormat="false" ht="15" hidden="false" customHeight="false" outlineLevel="0" collapsed="false">
      <c r="A31" s="2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2026-08-26T22:21:05Z</dcterms:created>
  <dc:creator>openpyxl</dc:creator>
  <dc:description/>
  <dc:language>en-US</dc:language>
  <cp:lastModifiedBy/>
  <dcterms:modified xsi:type="dcterms:W3CDTF">2026-08-26T22:21:05Z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